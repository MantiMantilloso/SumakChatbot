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la\OneDrive\Escritorio\MARIELA\IA\MAESTRIA\TFM\DESARROLLO\1 ENTREGA\"/>
    </mc:Choice>
  </mc:AlternateContent>
  <xr:revisionPtr revIDLastSave="0" documentId="13_ncr:1_{CDA47EBB-A95B-44A4-B9EF-D29019DD4202}" xr6:coauthVersionLast="47" xr6:coauthVersionMax="47" xr10:uidLastSave="{00000000-0000-0000-0000-000000000000}"/>
  <bookViews>
    <workbookView xWindow="-103" yWindow="-103" windowWidth="24892" windowHeight="14914" xr2:uid="{FD6EE1B9-C89B-4A6C-9A80-42EDDFD04184}"/>
  </bookViews>
  <sheets>
    <sheet name="problemas" sheetId="8" r:id="rId1"/>
    <sheet name="DATOS" sheetId="4" r:id="rId2"/>
    <sheet name="Hoja2" sheetId="6" r:id="rId3"/>
  </sheets>
  <definedNames>
    <definedName name="_xlnm.Print_Area" localSheetId="1">DATOS!$A$2:$H$54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4" l="1"/>
</calcChain>
</file>

<file path=xl/sharedStrings.xml><?xml version="1.0" encoding="utf-8"?>
<sst xmlns="http://schemas.openxmlformats.org/spreadsheetml/2006/main" count="377" uniqueCount="346">
  <si>
    <t>Cultivo</t>
  </si>
  <si>
    <t>Banano</t>
  </si>
  <si>
    <t>Problema común</t>
  </si>
  <si>
    <t>Causa principal</t>
  </si>
  <si>
    <t>Manejo posible con fertilización, bioestimulación y enmiendas</t>
  </si>
  <si>
    <t>Marchitez, amarillamiento, pudrición interna del pseudotallo</t>
  </si>
  <si>
    <t>Deficiencia de potasio</t>
  </si>
  <si>
    <t>Extracción alta sin reposición adecuada</t>
  </si>
  <si>
    <t>Clorosis por deficiencia de magnesio</t>
  </si>
  <si>
    <t>Aplicación foliar de Mg, corrección de balance catiónico en suelo</t>
  </si>
  <si>
    <t>Mycosphaerella fijiensis</t>
  </si>
  <si>
    <t>Consecuencias</t>
  </si>
  <si>
    <t>Síntomas</t>
  </si>
  <si>
    <t xml:space="preserve">Sigatoka negra </t>
  </si>
  <si>
    <t xml:space="preserve">Moko </t>
  </si>
  <si>
    <t xml:space="preserve">Manchas y rayas marrones o necróticas, muerte del tejido foliar </t>
  </si>
  <si>
    <t>Borde amarillento en hojas viejas, enrollamiento de hojas, puntas de hojas dobladas</t>
  </si>
  <si>
    <t>Hojas viejas con amarillamiento entre las venas</t>
  </si>
  <si>
    <t>Nematodos</t>
  </si>
  <si>
    <t>Cochinilla</t>
  </si>
  <si>
    <t>Radopholus similis (nematodo barrenador), Pratylenchus spp. (nematodos lesionadores),  Helicotylenchus multicinctus (nematodos espirales)</t>
  </si>
  <si>
    <t>Mancha de maduración, fruto explosivo, deficiencia de calcio</t>
  </si>
  <si>
    <t>Ralstonia solanacearum (raza 2)</t>
  </si>
  <si>
    <t>Bioestimulación con microorganismos benéficos (Bacillus subtilis), enmiendas orgánicas para mejorar estructura y microbiota.</t>
  </si>
  <si>
    <t>Entorchamiento hoja bandera, punta de hojas corrugadas.</t>
  </si>
  <si>
    <t>Suelos arenosos y PH alcalino, riego deficiente (poca humedad)</t>
  </si>
  <si>
    <t>Deficiencia de boro, cuello de ganzo</t>
  </si>
  <si>
    <t>Amarillamiento en hojas jovenes, bordes quemados</t>
  </si>
  <si>
    <t>Reducción de numero de manos, frutos delgados y de mala calidad</t>
  </si>
  <si>
    <t>Uso excesivo de fertilizantes nitrogenados amoniacales, drenajes en mal estado</t>
  </si>
  <si>
    <t>Bronceado marrón claro en la cáscara, especialmente en la curvatura de los dedos</t>
  </si>
  <si>
    <t xml:space="preserve">En llenado del fruto se debilita la cascara y se rompe o se pigmenta a color marron </t>
  </si>
  <si>
    <t>Pudrición de raíces, hojas amarillas o secas, marchitez de la planta</t>
  </si>
  <si>
    <t>Volcamiento de la planta por la debilidad del sistema radicular, plantas enanas, mala calidad de racimos</t>
  </si>
  <si>
    <t>Amarillamiento y secamiento de las hojas, presencia visible de cuerpos algodonosos en hojas, tallos y racimos. </t>
  </si>
  <si>
    <t>Deformaciones en la planta y frutos, altas infestaciones provocan caída prematura de hojas y reducción del tamaño de frutos</t>
  </si>
  <si>
    <t>Dysmicoccus neobrevipes (cochinilla algodonosa)</t>
  </si>
  <si>
    <t>Raspaduras en hojas, perforaciones en las hojas</t>
  </si>
  <si>
    <t>Reducción del área foliar fotosintética, frutos más pequeños, de menor calidad y maduración prematura</t>
  </si>
  <si>
    <t>Reducción de crecimiento radicular, deterioro en la absorcio de nutrientes. Exceso de absorcion del Aluminio toxico.</t>
  </si>
  <si>
    <t>Muerte de la planta, deformación del fruto y perdida total del racimo</t>
  </si>
  <si>
    <t>Fertilización potásica edáfica, aplicación foliar de K45, uso de fuentes nobles como nitrato de potasio</t>
  </si>
  <si>
    <t>Aplicación de BUGFORM PLUS, control químico.</t>
  </si>
  <si>
    <t>PH ácido de suelo, desbalance con K</t>
  </si>
  <si>
    <t>Toxicidad PH suelo ácido</t>
  </si>
  <si>
    <t>Deficiencia de calcio, PH ácido en suelos, suelos secos.</t>
  </si>
  <si>
    <t>Reducción del área foliar fotosintetica, reduccion en cantidad y calidad del fruto</t>
  </si>
  <si>
    <t>Reducción del área foliar, reduccion del crecimiento general de la planta, perdida de calidad del fruto</t>
  </si>
  <si>
    <t>Aplicación foliar de boro, aplicación edafica con ácido bórico o bórax, enmienda para bajar PH de suelo</t>
  </si>
  <si>
    <t>Aplicación de enmiendas calcicas para subir PH de suelo (DUNCA), incorporar materia orgánica, aplicación de Magnesio via foliar.</t>
  </si>
  <si>
    <t>Fertilización con Nitrato de calcio, aplicación de DUNCA o DUNCAMAG en los ciclos de fertilizacion, aplicación foliar de ALGUICALCIO</t>
  </si>
  <si>
    <t>Fortalecer sistema radicular con uso de enraizadores, aplicación de RIZOFORM, manejo integrado y labores culturales.</t>
  </si>
  <si>
    <t>Reducción del área foliar fotosintética, frutos de menor calidad. Infestación de racimos y cicatrices.</t>
  </si>
  <si>
    <t>Balance nutricional foliar y edafico, aplicación de bioestimulantes, fortalecimiento del tejido foliar, control químico</t>
  </si>
  <si>
    <t>3 días</t>
  </si>
  <si>
    <t>1 día</t>
  </si>
  <si>
    <t>Gusano peludo o Ceramidía</t>
  </si>
  <si>
    <t>Ceramidía spp.</t>
  </si>
  <si>
    <t>Tiempo respuesta actual 
Días</t>
  </si>
  <si>
    <t>Tiempo de atención promedio  en días</t>
  </si>
  <si>
    <t>Elaborado:</t>
  </si>
  <si>
    <t xml:space="preserve"> Ing. Lenin Toapanta</t>
  </si>
  <si>
    <t xml:space="preserve">Dirección Técnico–Comercial </t>
  </si>
  <si>
    <t xml:space="preserve">Solicitudes atendidas </t>
  </si>
  <si>
    <t xml:space="preserve">NOTA: Se considera 1 día como tiempo esperado de respuesta como promedio desde la solicitud, análisis del caso y revisión del equipo técnico, caso contario se espera una recomendación de 5 a 10 minutos para el ingreso de los datos. </t>
  </si>
  <si>
    <t xml:space="preserve">*Tiempo respuesta esperado óptimo </t>
  </si>
  <si>
    <t>Solicitudes de atención al mes promedio (5 representantes técnicos)</t>
  </si>
  <si>
    <t>Conversión del tiempo de respuesta</t>
  </si>
  <si>
    <t>Métrica</t>
  </si>
  <si>
    <t>Valor</t>
  </si>
  <si>
    <t>Tiempo de atención promedio</t>
  </si>
  <si>
    <t>Equivalente en horas</t>
  </si>
  <si>
    <t>72 h</t>
  </si>
  <si>
    <t>Equivalente en minutos</t>
  </si>
  <si>
    <t>4,320 min</t>
  </si>
  <si>
    <t>Meta (−50% del tiempo)</t>
  </si>
  <si>
    <t>1.5 días (36 h / 2,160 min)</t>
  </si>
  <si>
    <t>Brecha vs meta</t>
  </si>
  <si>
    <t>−1.5 días (−36 h / −2,160 min)</t>
  </si>
  <si>
    <t>Volumen y desempeño (mensual y diario)</t>
  </si>
  <si>
    <t>Indicador</t>
  </si>
  <si>
    <t>Equipo (5 reps)</t>
  </si>
  <si>
    <t>Por representante</t>
  </si>
  <si>
    <t>Fórmula / nota</t>
  </si>
  <si>
    <t>Solicitudes al mes</t>
  </si>
  <si>
    <t>500 / 5</t>
  </si>
  <si>
    <t>Solicitudes atendidas al mes</t>
  </si>
  <si>
    <t>250 / 5</t>
  </si>
  <si>
    <t>% atendidas</t>
  </si>
  <si>
    <t>250 / 500</t>
  </si>
  <si>
    <t>No atendidas (backlog mensual)</t>
  </si>
  <si>
    <t>500 − 250</t>
  </si>
  <si>
    <t>Llegadas por día</t>
  </si>
  <si>
    <t>16.67</t>
  </si>
  <si>
    <t>3.33</t>
  </si>
  <si>
    <t>500 ÷ 30 (y ÷5)</t>
  </si>
  <si>
    <t>Atendidas por día</t>
  </si>
  <si>
    <t>8.33</t>
  </si>
  <si>
    <t>1.67</t>
  </si>
  <si>
    <t>250 ÷ 30 (y ÷5)</t>
  </si>
  <si>
    <t>Backlog que crece por día</t>
  </si>
  <si>
    <t>(500−250) ÷ 30 (y ÷5)</t>
  </si>
  <si>
    <t>Capacidad necesaria para cubrir 100%</t>
  </si>
  <si>
    <t>2×</t>
  </si>
  <si>
    <t>—</t>
  </si>
  <si>
    <t>500 ÷ 250</t>
  </si>
  <si>
    <t>ANEXO 5</t>
  </si>
  <si>
    <r>
      <rPr>
        <b/>
        <sz val="11"/>
        <color theme="1"/>
        <rFont val="Arial"/>
        <family val="2"/>
      </rPr>
      <t>Observación</t>
    </r>
    <r>
      <rPr>
        <sz val="11"/>
        <color theme="1"/>
        <rFont val="Arial"/>
        <family val="2"/>
      </rPr>
      <t>: ahora se atiende 1 de cada 2 solicitudes (50%). El backlog aún crece ~250/mes (≈8.33/día). Para estabilizar la demanda, se necesita duplicar el throughput (pasar de 250 a 500/mes) y, en paralelo, reducir el tiempo medio a ≤1.5 días para cumplir la meta de eficiencia.</t>
    </r>
  </si>
  <si>
    <t>PROBLEMAS RECURRENTES EN FINCAS Y TIEMPOS DE ATENCIÓN</t>
  </si>
  <si>
    <t>Concepto</t>
  </si>
  <si>
    <t>Situación Actual</t>
  </si>
  <si>
    <t>Con Asistente IA</t>
  </si>
  <si>
    <t>Resultado / Impacto Principal</t>
  </si>
  <si>
    <t>Consultas atendidas</t>
  </si>
  <si>
    <t>250 de 500 mensuales</t>
  </si>
  <si>
    <t>500 de 500 mensuales</t>
  </si>
  <si>
    <t>100% cobertura sin contratar más personal</t>
  </si>
  <si>
    <t>Horas técnicas</t>
  </si>
  <si>
    <t>250 h/mes (1h por consulta)</t>
  </si>
  <si>
    <t>50 h/mes (15 min revisión en 200 consultas)</t>
  </si>
  <si>
    <t>200 h/mes liberadas ≈ 1 FTE disponible</t>
  </si>
  <si>
    <t>Costo humano</t>
  </si>
  <si>
    <t>$3.750/mes</t>
  </si>
  <si>
    <t>$750/mes</t>
  </si>
  <si>
    <t>Ahorro $3.000/mes</t>
  </si>
  <si>
    <t>Costo IA + infraestructura</t>
  </si>
  <si>
    <t>$130/mes</t>
  </si>
  <si>
    <t>Bajo costo incremental</t>
  </si>
  <si>
    <t>Costo total mensual</t>
  </si>
  <si>
    <t>Ahorro neto $2.870/mes</t>
  </si>
  <si>
    <t>Ahorro anual</t>
  </si>
  <si>
    <t>Inversión inicial (CapEx)</t>
  </si>
  <si>
    <t>Única vez</t>
  </si>
  <si>
    <t>Costo operativo anual (OpEx)</t>
  </si>
  <si>
    <t>Mínimo costo anual</t>
  </si>
  <si>
    <t>ROI estimado</t>
  </si>
  <si>
    <t>Alta rentabilidad (retorno 5,68x la inversión)</t>
  </si>
  <si>
    <t>Payback</t>
  </si>
  <si>
    <t>~2 meses</t>
  </si>
  <si>
    <t>Recuperación rápida</t>
  </si>
  <si>
    <t>Beneficios intangibles</t>
  </si>
  <si>
    <t>Tiempo de respuesta lento</t>
  </si>
  <si>
    <t>Atención inmediata y datos estructurados</t>
  </si>
  <si>
    <t>Mejor reputación, retención de clientes, oportunidades de mejora de servicio y productos</t>
  </si>
  <si>
    <t>Problemas Comunes en el Cultivo de Banano y Plátano</t>
  </si>
  <si>
    <t>Problema Común</t>
  </si>
  <si>
    <t>Causa Principal</t>
  </si>
  <si>
    <t>Manejo Posible con Fert. / Bioestim. / Enmiendas (Vademécum Sumak 2025)</t>
  </si>
  <si>
    <t>1. Deficiencia de Potasio (K)</t>
  </si>
  <si>
    <r>
      <t xml:space="preserve">Planta de crecimiento lento, hojas amarillas. </t>
    </r>
    <r>
      <rPr>
        <b/>
        <sz val="11"/>
        <color theme="1"/>
        <rFont val="Aptos Narrow"/>
        <family val="2"/>
        <scheme val="minor"/>
      </rPr>
      <t>Fruta de bajo peso, corta, delgada</t>
    </r>
    <r>
      <rPr>
        <sz val="11"/>
        <color theme="1"/>
        <rFont val="Aptos Narrow"/>
        <family val="2"/>
        <scheme val="minor"/>
      </rPr>
      <t>. Racimos cortos ("enconchados"), dedos curvos, diámetro y longitud afectados. Amarillamiento inicial de las hojas.</t>
    </r>
  </si>
  <si>
    <t>2. Deficiencia de Nitrógeno (N)</t>
  </si>
  <si>
    <t>Planta de crecimiento lento, pequeña, hojas amarillas. Hojas más pálidas, reducción de superficie foliar. Amarillamiento de hojas, iniciando en las más viejas y progresando a las jóvenes.</t>
  </si>
  <si>
    <t>Déficit de Nitrógeno. Esencial para obtener una planta vigorosa y fruta grande.</t>
  </si>
  <si>
    <t>3. Deficiencia de Calcio (Ca)</t>
  </si>
  <si>
    <t>4. Deficiencia de Magnesio (Mg)</t>
  </si>
  <si>
    <t>5. Deficiencia de Azufre (S)</t>
  </si>
  <si>
    <t>Clorosis de las hojas jóvenes. Hojas blanco-amarillentas. Si es severa, parches necróticos en márgenes, venas engrosadas, hojas sin láminas.</t>
  </si>
  <si>
    <t>Niveles bajos de Zinc en la mayoría de los suelos bananeros.</t>
  </si>
  <si>
    <t>Inhibe o paraliza el crecimiento de tejidos meristemáticos (parte aérea y raíces). Baja rendimiento y calidad del fruto.</t>
  </si>
  <si>
    <t>Carencia de Boro, casi todos los suelos bananeros son deficientes en B.</t>
  </si>
  <si>
    <t>Toxicidad de Aluminio (Al) y Manganeso (Mn). Deficiencias generalizadas de nutrimentos por afectación del sistema radical. Baja disponibilidad de Ca.</t>
  </si>
  <si>
    <t>pH ácido del suelo (ej. 4.85 a 5.43), y presencia de agua en exceso.</t>
  </si>
  <si>
    <t>Pocas raíces funcionales, cortas con lesiones frecuentes, muchas raíces muertas.</t>
  </si>
  <si>
    <r>
      <t xml:space="preserve">Afecta el área foliar fotosintética, ocasionando problemas de peso de racimos. </t>
    </r>
    <r>
      <rPr>
        <b/>
        <sz val="11"/>
        <color theme="1"/>
        <rFont val="Aptos Narrow"/>
        <family val="2"/>
        <scheme val="minor"/>
      </rPr>
      <t>Maduración prematura de la fruta</t>
    </r>
    <r>
      <rPr>
        <sz val="11"/>
        <color theme="1"/>
        <rFont val="Aptos Narrow"/>
        <family val="2"/>
        <scheme val="minor"/>
      </rPr>
      <t>, afectando la comercialización.</t>
    </r>
  </si>
  <si>
    <t>Daño en el interior de la raíz, corteza de la raíz se desprende, pudrición. Clorosis/amarillamiento general de la planta, desraizamiento.</t>
  </si>
  <si>
    <t>Insectos chupadores (Hemiptera: Pseudococcidae).</t>
  </si>
  <si>
    <t>Frutas afectadas no son mercadeables y la producción no califica para exportación.</t>
  </si>
  <si>
    <t>Reducción del crecimiento de plantas y del peso de los racimos. El virus incide en el tamaño del racimo.</t>
  </si>
  <si>
    <r>
      <t>Enfermedad viral transmitida por la quereza (</t>
    </r>
    <r>
      <rPr>
        <i/>
        <sz val="11"/>
        <color theme="1"/>
        <rFont val="Aptos Narrow"/>
        <family val="2"/>
        <scheme val="minor"/>
      </rPr>
      <t>Planococcus citri</t>
    </r>
    <r>
      <rPr>
        <sz val="11"/>
        <color theme="1"/>
        <rFont val="Aptos Narrow"/>
        <family val="2"/>
        <scheme val="minor"/>
      </rPr>
      <t>).</t>
    </r>
  </si>
  <si>
    <r>
      <t xml:space="preserve">Madurez temprana. Es el factor nutricional que </t>
    </r>
    <r>
      <rPr>
        <b/>
        <sz val="11"/>
        <color theme="1"/>
        <rFont val="Aptos Narrow"/>
        <family val="2"/>
        <scheme val="minor"/>
      </rPr>
      <t>más daño causa a la industria bananera a nivel internacional</t>
    </r>
    <r>
      <rPr>
        <sz val="11"/>
        <color theme="1"/>
        <rFont val="Aptos Narrow"/>
        <family val="2"/>
        <scheme val="minor"/>
      </rPr>
      <t>. La absorción potásica es crucial para el tamaño del racimo, número de manos y longitud de los dedos.</t>
    </r>
  </si>
  <si>
    <t>Deficiencia de Potasio, uno de los elementos más importantes en la nutrición del banano.</t>
  </si>
  <si>
    <r>
      <t>Fertilización Foliar: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K-45</t>
    </r>
    <r>
      <rPr>
        <sz val="11"/>
        <color theme="1"/>
        <rFont val="Aptos Narrow"/>
        <family val="2"/>
        <scheme val="minor"/>
      </rPr>
      <t xml:space="preserve"> (45% K₂O) para translocación de fotoasimilados y resistencia a condiciones adversas. </t>
    </r>
    <r>
      <rPr>
        <b/>
        <sz val="11"/>
        <color theme="1"/>
        <rFont val="Aptos Narrow"/>
        <family val="2"/>
        <scheme val="minor"/>
      </rPr>
      <t>Bioestimulación:</t>
    </r>
    <r>
      <rPr>
        <sz val="11"/>
        <color theme="1"/>
        <rFont val="Aptos Narrow"/>
        <family val="2"/>
        <scheme val="minor"/>
      </rPr>
      <t xml:space="preserve"> Usar </t>
    </r>
    <r>
      <rPr>
        <b/>
        <sz val="11"/>
        <color theme="1"/>
        <rFont val="Aptos Narrow"/>
        <family val="2"/>
        <scheme val="minor"/>
      </rPr>
      <t>SUMAKCROP Energy Folic</t>
    </r>
    <r>
      <rPr>
        <sz val="11"/>
        <color theme="1"/>
        <rFont val="Aptos Narrow"/>
        <family val="2"/>
        <scheme val="minor"/>
      </rPr>
      <t xml:space="preserve"> (Potasio, regula apertura de estomas) o </t>
    </r>
    <r>
      <rPr>
        <b/>
        <sz val="11"/>
        <color theme="1"/>
        <rFont val="Aptos Narrow"/>
        <family val="2"/>
        <scheme val="minor"/>
      </rPr>
      <t>SUMAKCROP Extracto de Algas</t>
    </r>
    <r>
      <rPr>
        <sz val="11"/>
        <color theme="1"/>
        <rFont val="Aptos Narrow"/>
        <family val="2"/>
        <scheme val="minor"/>
      </rPr>
      <t xml:space="preserve"> (17% K₂O). </t>
    </r>
    <r>
      <rPr>
        <b/>
        <sz val="11"/>
        <color theme="1"/>
        <rFont val="Aptos Narrow"/>
        <family val="2"/>
        <scheme val="minor"/>
      </rPr>
      <t>Orgánico/Enmiendas: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nutre Potasa 33</t>
    </r>
    <r>
      <rPr>
        <sz val="11"/>
        <color theme="1"/>
        <rFont val="Aptos Narrow"/>
        <family val="2"/>
        <scheme val="minor"/>
      </rPr>
      <t xml:space="preserve"> (49% K₂O soluble) o </t>
    </r>
    <r>
      <rPr>
        <b/>
        <sz val="11"/>
        <color theme="1"/>
        <rFont val="Aptos Narrow"/>
        <family val="2"/>
        <scheme val="minor"/>
      </rPr>
      <t>SUMAKCROP MAX SOIL PLUS</t>
    </r>
    <r>
      <rPr>
        <sz val="11"/>
        <color theme="1"/>
        <rFont val="Aptos Narrow"/>
        <family val="2"/>
        <scheme val="minor"/>
      </rPr>
      <t xml:space="preserve"> (10% K₂O).</t>
    </r>
  </si>
  <si>
    <t>Reducción del crecimiento y rendimiento. La planta produce menos biomasa, lo que puede causar efecto de concentración de nutrientes en análisis foliares (efecto de dilución).</t>
  </si>
  <si>
    <r>
      <t>Fertilización Foliar: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Nitrogen Plus 30</t>
    </r>
    <r>
      <rPr>
        <sz val="11"/>
        <color theme="1"/>
        <rFont val="Aptos Narrow"/>
        <family val="2"/>
        <scheme val="minor"/>
      </rPr>
      <t xml:space="preserve"> (30.00% N total) para cubrimiento rápido de las necesidades. </t>
    </r>
    <r>
      <rPr>
        <b/>
        <sz val="11"/>
        <color theme="1"/>
        <rFont val="Aptos Narrow"/>
        <family val="2"/>
        <scheme val="minor"/>
      </rPr>
      <t>Bioestimulación/Enmiendas: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Aminoácidos Microgranulados</t>
    </r>
    <r>
      <rPr>
        <sz val="11"/>
        <color theme="1"/>
        <rFont val="Aptos Narrow"/>
        <family val="2"/>
        <scheme val="minor"/>
      </rPr>
      <t xml:space="preserve"> (6% N, 10% Aminoácidos) para promover la síntesis de proteínas o </t>
    </r>
    <r>
      <rPr>
        <b/>
        <sz val="11"/>
        <color theme="1"/>
        <rFont val="Aptos Narrow"/>
        <family val="2"/>
        <scheme val="minor"/>
      </rPr>
      <t>SUMAKCROP Green Gold Seaweed Extract</t>
    </r>
    <r>
      <rPr>
        <sz val="11"/>
        <color theme="1"/>
        <rFont val="Aptos Narrow"/>
        <family val="2"/>
        <scheme val="minor"/>
      </rPr>
      <t xml:space="preserve"> (3% N).</t>
    </r>
  </si>
  <si>
    <r>
      <t xml:space="preserve">Hojas deformadas en plantía. Carencia de crecimiento con deformación del punto meristemático apical. </t>
    </r>
    <r>
      <rPr>
        <b/>
        <sz val="11"/>
        <color theme="1"/>
        <rFont val="Aptos Narrow"/>
        <family val="2"/>
        <scheme val="minor"/>
      </rPr>
      <t>Raquitismo</t>
    </r>
    <r>
      <rPr>
        <sz val="11"/>
        <color theme="1"/>
        <rFont val="Aptos Narrow"/>
        <family val="2"/>
        <scheme val="minor"/>
      </rPr>
      <t>. Reducción del ritmo de emisión foliar, raíces más cortas.</t>
    </r>
  </si>
  <si>
    <r>
      <t xml:space="preserve">Más susceptible a nemátodos y ataques fungosos por afectación del sistema radical. Se relaciona con el </t>
    </r>
    <r>
      <rPr>
        <b/>
        <sz val="11"/>
        <color theme="1"/>
        <rFont val="Aptos Narrow"/>
        <family val="2"/>
        <scheme val="minor"/>
      </rPr>
      <t>arrepollamiento de banano</t>
    </r>
    <r>
      <rPr>
        <sz val="11"/>
        <color theme="1"/>
        <rFont val="Aptos Narrow"/>
        <family val="2"/>
        <scheme val="minor"/>
      </rPr>
      <t>. El Ca es esencial en la formación del pectato de calcio (epidermis del fruto).</t>
    </r>
  </si>
  <si>
    <t>Deficiencia de Calcio. Puede ocurrir incluso con suficiente Ca en el suelo si la humedad relativa es alta, ya que no es absorbido.</t>
  </si>
  <si>
    <r>
      <t>Enmiendas: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Calcio Plus</t>
    </r>
    <r>
      <rPr>
        <sz val="11"/>
        <color theme="1"/>
        <rFont val="Aptos Narrow"/>
        <family val="2"/>
        <scheme val="minor"/>
      </rPr>
      <t xml:space="preserve"> (30% CaO) para neutralizar rápidamente el pH y la CE. </t>
    </r>
    <r>
      <rPr>
        <b/>
        <sz val="11"/>
        <color theme="1"/>
        <rFont val="Aptos Narrow"/>
        <family val="2"/>
        <scheme val="minor"/>
      </rPr>
      <t>ALGUI CALCIO</t>
    </r>
    <r>
      <rPr>
        <sz val="11"/>
        <color theme="1"/>
        <rFont val="Aptos Narrow"/>
        <family val="2"/>
        <scheme val="minor"/>
      </rPr>
      <t xml:space="preserve"> (56% CaO) para mejorar la estructura, la consistencia de la pared celular e incrementar la resistencia a patógenos. </t>
    </r>
    <r>
      <rPr>
        <b/>
        <sz val="11"/>
        <color theme="1"/>
        <rFont val="Aptos Narrow"/>
        <family val="2"/>
        <scheme val="minor"/>
      </rPr>
      <t>Bioestimulación/Foliar:</t>
    </r>
    <r>
      <rPr>
        <sz val="11"/>
        <color theme="1"/>
        <rFont val="Aptos Narrow"/>
        <family val="2"/>
        <scheme val="minor"/>
      </rPr>
      <t xml:space="preserve"> Usar </t>
    </r>
    <r>
      <rPr>
        <b/>
        <sz val="11"/>
        <color theme="1"/>
        <rFont val="Aptos Narrow"/>
        <family val="2"/>
        <scheme val="minor"/>
      </rPr>
      <t>SUMAKCROP Amino Gold Ca.</t>
    </r>
    <r>
      <rPr>
        <sz val="11"/>
        <color theme="1"/>
        <rFont val="Aptos Narrow"/>
        <family val="2"/>
        <scheme val="minor"/>
      </rPr>
      <t xml:space="preserve"> (16.89% Ca) o </t>
    </r>
    <r>
      <rPr>
        <b/>
        <sz val="11"/>
        <color theme="1"/>
        <rFont val="Aptos Narrow"/>
        <family val="2"/>
        <scheme val="minor"/>
      </rPr>
      <t>SUMAKCROP CaBZn</t>
    </r>
    <r>
      <rPr>
        <sz val="11"/>
        <color theme="1"/>
        <rFont val="Aptos Narrow"/>
        <family val="2"/>
        <scheme val="minor"/>
      </rPr>
      <t xml:space="preserve"> (10% CaO).</t>
    </r>
  </si>
  <si>
    <r>
      <t>Coloración azulada de pecíolos</t>
    </r>
    <r>
      <rPr>
        <sz val="11"/>
        <color theme="1"/>
        <rFont val="Aptos Narrow"/>
        <family val="2"/>
        <scheme val="minor"/>
      </rPr>
      <t>. Franjas amarillas y manchas necróticas en las hojas intermedias más viejas. Decoloración foliar y moteado de los pecíolos.</t>
    </r>
  </si>
  <si>
    <t>Fruta de buen peso y grosor, curvatura reducida de la fruta. Baja la síntesis y acumulación de carbohidratos.</t>
  </si>
  <si>
    <t>Deficiencia de Magnesio. Común en suelos arenosos o muy arcillosos. Desbalance de la relación Potasio/Magnesio foliar (debe estar entre 5 y 8).</t>
  </si>
  <si>
    <r>
      <t>Nutrición Foliar: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Mg</t>
    </r>
    <r>
      <rPr>
        <sz val="11"/>
        <color theme="1"/>
        <rFont val="Aptos Narrow"/>
        <family val="2"/>
        <scheme val="minor"/>
      </rPr>
      <t xml:space="preserve"> (9.00% MgO), potencializado por aminoácidos y ácidos carboxílicos. </t>
    </r>
    <r>
      <rPr>
        <b/>
        <sz val="11"/>
        <color theme="1"/>
        <rFont val="Aptos Narrow"/>
        <family val="2"/>
        <scheme val="minor"/>
      </rPr>
      <t>Enmiendas: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DUNCAMAG</t>
    </r>
    <r>
      <rPr>
        <sz val="11"/>
        <color theme="1"/>
        <rFont val="Aptos Narrow"/>
        <family val="2"/>
        <scheme val="minor"/>
      </rPr>
      <t xml:space="preserve"> (10% MgO, 12% Silicio). </t>
    </r>
    <r>
      <rPr>
        <b/>
        <sz val="11"/>
        <color theme="1"/>
        <rFont val="Aptos Narrow"/>
        <family val="2"/>
        <scheme val="minor"/>
      </rPr>
      <t>Orgánico:</t>
    </r>
    <r>
      <rPr>
        <sz val="11"/>
        <color theme="1"/>
        <rFont val="Aptos Narrow"/>
        <family val="2"/>
        <scheme val="minor"/>
      </rPr>
      <t xml:space="preserve"> Usar </t>
    </r>
    <r>
      <rPr>
        <b/>
        <sz val="11"/>
        <color theme="1"/>
        <rFont val="Aptos Narrow"/>
        <family val="2"/>
        <scheme val="minor"/>
      </rPr>
      <t>nutre mg</t>
    </r>
    <r>
      <rPr>
        <sz val="11"/>
        <color theme="1"/>
        <rFont val="Aptos Narrow"/>
        <family val="2"/>
        <scheme val="minor"/>
      </rPr>
      <t xml:space="preserve"> (9.5% MgO) para prevenir y curar carencias.</t>
    </r>
  </si>
  <si>
    <t>El rendimiento puede decrecer un 20%. Racimos pequeños y deformes. Afecta la síntesis de aminoácidos esenciales.</t>
  </si>
  <si>
    <t>Deficiencia de Azufre. Común en suelos arenosos y bajos en materia orgánica (&lt;3% MO).</t>
  </si>
  <si>
    <r>
      <t>Nutrición Foliar: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S+Cu Pentahidratado</t>
    </r>
    <r>
      <rPr>
        <sz val="11"/>
        <color theme="1"/>
        <rFont val="Aptos Narrow"/>
        <family val="2"/>
        <scheme val="minor"/>
      </rPr>
      <t xml:space="preserve"> (30% Azufre) para la síntesis de aminoácidos y formación de clorofila. </t>
    </r>
    <r>
      <rPr>
        <b/>
        <sz val="11"/>
        <color theme="1"/>
        <rFont val="Aptos Narrow"/>
        <family val="2"/>
        <scheme val="minor"/>
      </rPr>
      <t>Enmiendas:</t>
    </r>
    <r>
      <rPr>
        <sz val="11"/>
        <color theme="1"/>
        <rFont val="Aptos Narrow"/>
        <family val="2"/>
        <scheme val="minor"/>
      </rPr>
      <t xml:space="preserve"> Usar </t>
    </r>
    <r>
      <rPr>
        <b/>
        <sz val="11"/>
        <color theme="1"/>
        <rFont val="Aptos Narrow"/>
        <family val="2"/>
        <scheme val="minor"/>
      </rPr>
      <t>DUNCA</t>
    </r>
    <r>
      <rPr>
        <sz val="11"/>
        <color theme="1"/>
        <rFont val="Aptos Narrow"/>
        <family val="2"/>
        <scheme val="minor"/>
      </rPr>
      <t xml:space="preserve"> (4% Azufre) o </t>
    </r>
    <r>
      <rPr>
        <b/>
        <sz val="11"/>
        <color theme="1"/>
        <rFont val="Aptos Narrow"/>
        <family val="2"/>
        <scheme val="minor"/>
      </rPr>
      <t>DUNCAMAG</t>
    </r>
    <r>
      <rPr>
        <sz val="11"/>
        <color theme="1"/>
        <rFont val="Aptos Narrow"/>
        <family val="2"/>
        <scheme val="minor"/>
      </rPr>
      <t xml:space="preserve"> (4% Azufre).</t>
    </r>
  </si>
  <si>
    <t>6. Deficiencia de Fósforo (P)</t>
  </si>
  <si>
    <t>Reducción del crecimiento y desarrollo de la planta. Atraso en el crecimiento, ritmo de emisión foliar reducido. Apariencia de roseta, coloración verde intensa de hojas. Necrosis marginal en forma de sierra en hojas adultas.</t>
  </si>
  <si>
    <t>Baja el rendimiento y crecimiento de la planta y de los hijos.</t>
  </si>
  <si>
    <t>Déficit de Fósforo. Requerido en cantidades relativamente pequeñas después de la primera generación, pero esencial en las tres primeras.</t>
  </si>
  <si>
    <r>
      <t>Bioestimulación:</t>
    </r>
    <r>
      <rPr>
        <sz val="11"/>
        <color theme="1"/>
        <rFont val="Aptos Narrow"/>
        <family val="2"/>
        <scheme val="minor"/>
      </rPr>
      <t xml:space="preserve"> Usar </t>
    </r>
    <r>
      <rPr>
        <b/>
        <sz val="11"/>
        <color theme="1"/>
        <rFont val="Aptos Narrow"/>
        <family val="2"/>
        <scheme val="minor"/>
      </rPr>
      <t>SUMAKCROP Energy Folic</t>
    </r>
    <r>
      <rPr>
        <sz val="11"/>
        <color theme="1"/>
        <rFont val="Aptos Narrow"/>
        <family val="2"/>
        <scheme val="minor"/>
      </rPr>
      <t xml:space="preserve"> (contiene Fosfato, fundamental para la fotosíntesis y transferencia de energía). </t>
    </r>
    <r>
      <rPr>
        <b/>
        <sz val="11"/>
        <color theme="1"/>
        <rFont val="Aptos Narrow"/>
        <family val="2"/>
        <scheme val="minor"/>
      </rPr>
      <t>Enmiendas/Microbiológico: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FULLBIOTIC</t>
    </r>
    <r>
      <rPr>
        <sz val="11"/>
        <color theme="1"/>
        <rFont val="Aptos Narrow"/>
        <family val="2"/>
        <scheme val="minor"/>
      </rPr>
      <t xml:space="preserve"> (contiene P₂O₅ 5%) para promover la absorción.</t>
    </r>
  </si>
  <si>
    <t>7. Deficiencia de Zinc (Zn)</t>
  </si>
  <si>
    <t>Fruta con los dedos superiores deformes, fruta corta. Racimos en general de bajo peso. Rayado clorótico (asociado a Arrepollamiento).</t>
  </si>
  <si>
    <t>Racimos pequeños. Afecta la integridad celular y la síntesis de proteínas.</t>
  </si>
  <si>
    <r>
      <t>Nutrición Foliar: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Zn</t>
    </r>
    <r>
      <rPr>
        <sz val="11"/>
        <color theme="1"/>
        <rFont val="Aptos Narrow"/>
        <family val="2"/>
        <scheme val="minor"/>
      </rPr>
      <t xml:space="preserve"> (13.48% Zn), </t>
    </r>
    <r>
      <rPr>
        <b/>
        <sz val="11"/>
        <color theme="1"/>
        <rFont val="Aptos Narrow"/>
        <family val="2"/>
        <scheme val="minor"/>
      </rPr>
      <t>SUMAKCROP ZnBMn</t>
    </r>
    <r>
      <rPr>
        <sz val="11"/>
        <color theme="1"/>
        <rFont val="Aptos Narrow"/>
        <family val="2"/>
        <scheme val="minor"/>
      </rPr>
      <t xml:space="preserve"> (11.00% Zn) o </t>
    </r>
    <r>
      <rPr>
        <b/>
        <sz val="11"/>
        <color theme="1"/>
        <rFont val="Aptos Narrow"/>
        <family val="2"/>
        <scheme val="minor"/>
      </rPr>
      <t>SUMAKCROP CaBZn</t>
    </r>
    <r>
      <rPr>
        <sz val="11"/>
        <color theme="1"/>
        <rFont val="Aptos Narrow"/>
        <family val="2"/>
        <scheme val="minor"/>
      </rPr>
      <t xml:space="preserve"> (2.50% Zn). </t>
    </r>
    <r>
      <rPr>
        <b/>
        <sz val="11"/>
        <color theme="1"/>
        <rFont val="Aptos Narrow"/>
        <family val="2"/>
        <scheme val="minor"/>
      </rPr>
      <t>Bioestimulación: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Aminoacid Forte</t>
    </r>
    <r>
      <rPr>
        <sz val="11"/>
        <color theme="1"/>
        <rFont val="Aptos Narrow"/>
        <family val="2"/>
        <scheme val="minor"/>
      </rPr>
      <t xml:space="preserve"> (1.0% Zn).</t>
    </r>
  </si>
  <si>
    <t>8. Deficiencia de Boro (B)</t>
  </si>
  <si>
    <t>Hojas deformadas, limbo reducido e irregular con ondulaciones. Necrosis sin clorosis previa en el borde de las hojas. Clorosis internerval (estrías perpendiculares). Rajaduras en el fruto (asociado a descompensación de bases).</t>
  </si>
  <si>
    <r>
      <t>Nutrición Foliar: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B</t>
    </r>
    <r>
      <rPr>
        <sz val="11"/>
        <color theme="1"/>
        <rFont val="Aptos Narrow"/>
        <family val="2"/>
        <scheme val="minor"/>
      </rPr>
      <t xml:space="preserve"> (10.17% B) o </t>
    </r>
    <r>
      <rPr>
        <b/>
        <sz val="11"/>
        <color theme="1"/>
        <rFont val="Aptos Narrow"/>
        <family val="2"/>
        <scheme val="minor"/>
      </rPr>
      <t>SUMAKCROP CaBZn</t>
    </r>
    <r>
      <rPr>
        <sz val="11"/>
        <color theme="1"/>
        <rFont val="Aptos Narrow"/>
        <family val="2"/>
        <scheme val="minor"/>
      </rPr>
      <t xml:space="preserve"> (0.50% B). </t>
    </r>
    <r>
      <rPr>
        <b/>
        <sz val="11"/>
        <color theme="1"/>
        <rFont val="Aptos Narrow"/>
        <family val="2"/>
        <scheme val="minor"/>
      </rPr>
      <t>Bioestimulación:</t>
    </r>
    <r>
      <rPr>
        <sz val="11"/>
        <color theme="1"/>
        <rFont val="Aptos Narrow"/>
        <family val="2"/>
        <scheme val="minor"/>
      </rPr>
      <t xml:space="preserve"> Usar </t>
    </r>
    <r>
      <rPr>
        <b/>
        <sz val="11"/>
        <color theme="1"/>
        <rFont val="Aptos Narrow"/>
        <family val="2"/>
        <scheme val="minor"/>
      </rPr>
      <t>SUMAKCROP Titanio B Mo</t>
    </r>
    <r>
      <rPr>
        <sz val="11"/>
        <color theme="1"/>
        <rFont val="Aptos Narrow"/>
        <family val="2"/>
        <scheme val="minor"/>
      </rPr>
      <t xml:space="preserve"> (65g/L Boro) para funciones de brotación, floración y cuajado.</t>
    </r>
  </si>
  <si>
    <t>9. Deficiencia de Hierro (Fe)</t>
  </si>
  <si>
    <t>Clorosis general marcada en hojas jóvenes. Algunas nervaduras principales pueden mantenerse verdes al principio.</t>
  </si>
  <si>
    <t>Florecimiento anticipado, lo que produce racimos pequeños o no producidos. Afecta la síntesis de clorofila.</t>
  </si>
  <si>
    <t>Niveles de Fe en exceso en el suelo (131 a 461 mg/kg), a pesar de que el síntoma es de deficiencia. (Generalmente causado por pH bajo, que afecta la absorción del catión).</t>
  </si>
  <si>
    <r>
      <t>Enmiendas:</t>
    </r>
    <r>
      <rPr>
        <sz val="11"/>
        <color theme="1"/>
        <rFont val="Aptos Narrow"/>
        <family val="2"/>
        <scheme val="minor"/>
      </rPr>
      <t xml:space="preserve"> Si es deficiencia por antagonismo o pH bajo, aplicar </t>
    </r>
    <r>
      <rPr>
        <b/>
        <sz val="11"/>
        <color theme="1"/>
        <rFont val="Aptos Narrow"/>
        <family val="2"/>
        <scheme val="minor"/>
      </rPr>
      <t>ALGUI CALCIO</t>
    </r>
    <r>
      <rPr>
        <sz val="11"/>
        <color theme="1"/>
        <rFont val="Aptos Narrow"/>
        <family val="2"/>
        <scheme val="minor"/>
      </rPr>
      <t xml:space="preserve"> (56% CaO) o </t>
    </r>
    <r>
      <rPr>
        <b/>
        <sz val="11"/>
        <color theme="1"/>
        <rFont val="Aptos Narrow"/>
        <family val="2"/>
        <scheme val="minor"/>
      </rPr>
      <t>SUMAKCROP Calcio Plus</t>
    </r>
    <r>
      <rPr>
        <sz val="11"/>
        <color theme="1"/>
        <rFont val="Aptos Narrow"/>
        <family val="2"/>
        <scheme val="minor"/>
      </rPr>
      <t xml:space="preserve"> para corregir el pH ácido y la toxicidad de metales.</t>
    </r>
  </si>
  <si>
    <t>10. Acidez del Suelo (pH bajo)</t>
  </si>
  <si>
    <t>Muerte de raíces (pelos absorbentes). El pH foliar indica toxicidad de elementos. Raíces afectadas, síntomas de clorosis por toxicidad de Fe y Mn.</t>
  </si>
  <si>
    <r>
      <t>Enmiendas: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Calcio Plus</t>
    </r>
    <r>
      <rPr>
        <sz val="11"/>
        <color theme="1"/>
        <rFont val="Aptos Narrow"/>
        <family val="2"/>
        <scheme val="minor"/>
      </rPr>
      <t xml:space="preserve"> (30% CaO) o </t>
    </r>
    <r>
      <rPr>
        <b/>
        <sz val="11"/>
        <color theme="1"/>
        <rFont val="Aptos Narrow"/>
        <family val="2"/>
        <scheme val="minor"/>
      </rPr>
      <t>ALGUI CALCIO</t>
    </r>
    <r>
      <rPr>
        <sz val="11"/>
        <color theme="1"/>
        <rFont val="Aptos Narrow"/>
        <family val="2"/>
        <scheme val="minor"/>
      </rPr>
      <t xml:space="preserve"> (56% CaO) para neutralizar rápidamente el pH y la CE.</t>
    </r>
  </si>
  <si>
    <t>11. Toxicidad de Hierro (Fe)</t>
  </si>
  <si>
    <t>Clorosis general marcada en hojas jóvenes. Racimos pequeños, o no producidos, asociados a florecimiento anticipado.</t>
  </si>
  <si>
    <t>Disminución del crecimiento y producción. La toxicidad de Fe se relaciona con pH ácido.</t>
  </si>
  <si>
    <t>Exceso de Hierro (Fe) en el suelo (131 mg/kg), causado por pH ácido (&lt;5.5) y presencia de agua en exceso.</t>
  </si>
  <si>
    <r>
      <t>Enmiendas: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Calcio Plus</t>
    </r>
    <r>
      <rPr>
        <sz val="11"/>
        <color theme="1"/>
        <rFont val="Aptos Narrow"/>
        <family val="2"/>
        <scheme val="minor"/>
      </rPr>
      <t xml:space="preserve"> o </t>
    </r>
    <r>
      <rPr>
        <b/>
        <sz val="11"/>
        <color theme="1"/>
        <rFont val="Aptos Narrow"/>
        <family val="2"/>
        <scheme val="minor"/>
      </rPr>
      <t>ALGUI CALCIO</t>
    </r>
    <r>
      <rPr>
        <sz val="11"/>
        <color theme="1"/>
        <rFont val="Aptos Narrow"/>
        <family val="2"/>
        <scheme val="minor"/>
      </rPr>
      <t xml:space="preserve"> para neutralizar el pH ácido. Aplicar Silicio con </t>
    </r>
    <r>
      <rPr>
        <b/>
        <sz val="11"/>
        <color theme="1"/>
        <rFont val="Aptos Narrow"/>
        <family val="2"/>
        <scheme val="minor"/>
      </rPr>
      <t>SUMAKCROP DiatoMaxSoil</t>
    </r>
    <r>
      <rPr>
        <sz val="11"/>
        <color theme="1"/>
        <rFont val="Aptos Narrow"/>
        <family val="2"/>
        <scheme val="minor"/>
      </rPr>
      <t xml:space="preserve"> (73.85% Silicio) que alivia la toxicidad por Fe.</t>
    </r>
  </si>
  <si>
    <t>12. Toxicidad de Manganeso (Mn)</t>
  </si>
  <si>
    <t>Clorosis intervenal en hojas jóvenes, parecida a deficiencia de Fe.</t>
  </si>
  <si>
    <t>Disminución y retraso del crecimiento. Niveles foliares de Mn suelen estar en exceso.</t>
  </si>
  <si>
    <t>Exceso de Manganeso (Mn) en el suelo, causado por pH del sustrato de cultivo superior a 6,5.</t>
  </si>
  <si>
    <r>
      <t>Enmiendas: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ALGUI CALCIO</t>
    </r>
    <r>
      <rPr>
        <sz val="11"/>
        <color theme="1"/>
        <rFont val="Aptos Narrow"/>
        <family val="2"/>
        <scheme val="minor"/>
      </rPr>
      <t xml:space="preserve"> para regular el pH y mitigar la toxicidad. Aplicar Silicio con </t>
    </r>
    <r>
      <rPr>
        <b/>
        <sz val="11"/>
        <color theme="1"/>
        <rFont val="Aptos Narrow"/>
        <family val="2"/>
        <scheme val="minor"/>
      </rPr>
      <t>SUMAKCROP DiatoMaxSoil</t>
    </r>
    <r>
      <rPr>
        <sz val="11"/>
        <color theme="1"/>
        <rFont val="Aptos Narrow"/>
        <family val="2"/>
        <scheme val="minor"/>
      </rPr>
      <t xml:space="preserve"> que alivia la toxicidad por Mn.</t>
    </r>
  </si>
  <si>
    <t>13. Salinidad del Suelo</t>
  </si>
  <si>
    <t>Afecta significativamente la producción de raíces. Disminuye la calidad productiva, ya que el banano es muy sensible a la salinidad.</t>
  </si>
  <si>
    <t>Altos contenidos de Na (Intercambiable y soluble).</t>
  </si>
  <si>
    <r>
      <t>Enmiendas: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Clean Soil</t>
    </r>
    <r>
      <rPr>
        <sz val="11"/>
        <color theme="1"/>
        <rFont val="Aptos Narrow"/>
        <family val="2"/>
        <scheme val="minor"/>
      </rPr>
      <t xml:space="preserve"> (corrector de salinidad de alta calidad) para reducir la salinidad y mitigar el estrés salino. </t>
    </r>
    <r>
      <rPr>
        <b/>
        <sz val="11"/>
        <color theme="1"/>
        <rFont val="Aptos Narrow"/>
        <family val="2"/>
        <scheme val="minor"/>
      </rPr>
      <t>Bioestimulación: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Elicitor</t>
    </r>
    <r>
      <rPr>
        <sz val="11"/>
        <color theme="1"/>
        <rFont val="Aptos Narrow"/>
        <family val="2"/>
        <scheme val="minor"/>
      </rPr>
      <t xml:space="preserve"> (induce resistencia ante estrés abiótico como salinidad).</t>
    </r>
  </si>
  <si>
    <t>14. Compactación del Suelo</t>
  </si>
  <si>
    <t>Raíces cortas, poco profundas y horizontales. Sistema radical débil.</t>
  </si>
  <si>
    <t>Débil desarrollo del sistema radical. Baja exploración de raíces para captar agua y nutrientes. Absorción de K severamente restringida en suelos masivos.</t>
  </si>
  <si>
    <t>Factores del suelo (Estructura masiva).</t>
  </si>
  <si>
    <r>
      <t>Enmiendas: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Root Soil</t>
    </r>
    <r>
      <rPr>
        <sz val="11"/>
        <color theme="1"/>
        <rFont val="Aptos Narrow"/>
        <family val="2"/>
        <scheme val="minor"/>
      </rPr>
      <t xml:space="preserve"> (bioactivador que descompacta los suelos y estimula el crecimiento radical) o </t>
    </r>
    <r>
      <rPr>
        <b/>
        <sz val="11"/>
        <color theme="1"/>
        <rFont val="Aptos Narrow"/>
        <family val="2"/>
        <scheme val="minor"/>
      </rPr>
      <t>SUMAKCROP MAX SOIL PLUS</t>
    </r>
    <r>
      <rPr>
        <sz val="11"/>
        <color theme="1"/>
        <rFont val="Aptos Narrow"/>
        <family val="2"/>
        <scheme val="minor"/>
      </rPr>
      <t xml:space="preserve"> (mejora la estructura del suelo, promueve el crecimiento radical).</t>
    </r>
  </si>
  <si>
    <t>15. Anegamiento / Drenaje Deficiente</t>
  </si>
  <si>
    <t>Muchas raíces muertas o ahogadas. Sistema radicular poco profundo. Muerte de raíces (pelos absorbentes).</t>
  </si>
  <si>
    <t>Pérdida de raíces que genera deficiencias generalizadas de nutrimentos. Estrés abiótico. Condiciones de Óxido reducción.</t>
  </si>
  <si>
    <t>Lluvia o drenaje superficial deficiente. Exceso de agua que conduce a la saturación del suelo.</t>
  </si>
  <si>
    <r>
      <t>Enmiendas: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FULLBIOTIC</t>
    </r>
    <r>
      <rPr>
        <sz val="11"/>
        <color theme="1"/>
        <rFont val="Aptos Narrow"/>
        <family val="2"/>
        <scheme val="minor"/>
      </rPr>
      <t xml:space="preserve"> (promueve formación de estructura grumosa, mejora la capacidad de retención de agua). Es necesario construir drenajes para evitar saturación de agua.</t>
    </r>
  </si>
  <si>
    <t>16. Estrés por Temperaturas Extremas (Calor o Frío)</t>
  </si>
  <si>
    <t>Asociado a Arrepollamiento de banano (con deficiencias de Ca y Zn).</t>
  </si>
  <si>
    <t>Deterioro de la raíz. Disminución grave del rendimiento y biomasa (hasta 70%). Estrés por calor reforzado por alta radiación solar.</t>
  </si>
  <si>
    <t>Factores climáticos (alta y baja temperatura).</t>
  </si>
  <si>
    <r>
      <t>Bioestimulación: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Energy Green</t>
    </r>
    <r>
      <rPr>
        <sz val="11"/>
        <color theme="1"/>
        <rFont val="Aptos Narrow"/>
        <family val="2"/>
        <scheme val="minor"/>
      </rPr>
      <t xml:space="preserve"> (antiestresante por efectos de altas y bajas temperaturas, estrés hídrico). </t>
    </r>
    <r>
      <rPr>
        <b/>
        <sz val="11"/>
        <color theme="1"/>
        <rFont val="Aptos Narrow"/>
        <family val="2"/>
        <scheme val="minor"/>
      </rPr>
      <t>SUMAKCROP Aminoacid Forte</t>
    </r>
    <r>
      <rPr>
        <sz val="11"/>
        <color theme="1"/>
        <rFont val="Aptos Narrow"/>
        <family val="2"/>
        <scheme val="minor"/>
      </rPr>
      <t xml:space="preserve"> (ayuda a soportar condiciones adversas como sequía, frío, calor).</t>
    </r>
  </si>
  <si>
    <r>
      <t>17. Sigatoka Negra</t>
    </r>
    <r>
      <rPr>
        <sz val="11"/>
        <color theme="1"/>
        <rFont val="Aptos Narrow"/>
        <family val="2"/>
        <scheme val="minor"/>
      </rPr>
      <t xml:space="preserve"> (</t>
    </r>
    <r>
      <rPr>
        <i/>
        <sz val="11"/>
        <color theme="1"/>
        <rFont val="Aptos Narrow"/>
        <family val="2"/>
        <scheme val="minor"/>
      </rPr>
      <t>Mycosphaerella fijiensis</t>
    </r>
    <r>
      <rPr>
        <sz val="11"/>
        <color theme="1"/>
        <rFont val="Aptos Narrow"/>
        <family val="2"/>
        <scheme val="minor"/>
      </rPr>
      <t>)</t>
    </r>
  </si>
  <si>
    <t>Pequeña mancha o peca rojiza en el envés de la 3ra o 4ta hoja. Rayas y manchas oscuras. Centro blanco grisáceo con bordes negros (Estadio 6).</t>
  </si>
  <si>
    <r>
      <t xml:space="preserve">Hongo </t>
    </r>
    <r>
      <rPr>
        <i/>
        <sz val="11"/>
        <color theme="1"/>
        <rFont val="Aptos Narrow"/>
        <family val="2"/>
        <scheme val="minor"/>
      </rPr>
      <t>Mycosphaerella fijiensis</t>
    </r>
    <r>
      <rPr>
        <sz val="11"/>
        <color theme="1"/>
        <rFont val="Aptos Narrow"/>
        <family val="2"/>
        <scheme val="minor"/>
      </rPr>
      <t>. Es más agresiva y destructiva que la Sigatoka Amarilla.</t>
    </r>
  </si>
  <si>
    <r>
      <t>Microbiológicos: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BACIFORM SC</t>
    </r>
    <r>
      <rPr>
        <sz val="11"/>
        <color theme="1"/>
        <rFont val="Aptos Narrow"/>
        <family val="2"/>
        <scheme val="minor"/>
      </rPr>
      <t xml:space="preserve"> (fungicida-fertilizante biológico con acción protectora y curativa, induce resistencia sistémica). </t>
    </r>
    <r>
      <rPr>
        <b/>
        <sz val="11"/>
        <color theme="1"/>
        <rFont val="Aptos Narrow"/>
        <family val="2"/>
        <scheme val="minor"/>
      </rPr>
      <t>Bioestimulación: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Zitor</t>
    </r>
    <r>
      <rPr>
        <sz val="11"/>
        <color theme="1"/>
        <rFont val="Aptos Narrow"/>
        <family val="2"/>
        <scheme val="minor"/>
      </rPr>
      <t xml:space="preserve"> (estimula defensas propias contra hongos y bacterias) o </t>
    </r>
    <r>
      <rPr>
        <b/>
        <sz val="11"/>
        <color theme="1"/>
        <rFont val="Aptos Narrow"/>
        <family val="2"/>
        <scheme val="minor"/>
      </rPr>
      <t>SUMAKCROP Elicitor</t>
    </r>
    <r>
      <rPr>
        <sz val="11"/>
        <color theme="1"/>
        <rFont val="Aptos Narrow"/>
        <family val="2"/>
        <scheme val="minor"/>
      </rPr>
      <t xml:space="preserve"> (induce resistencia ante hongos).</t>
    </r>
  </si>
  <si>
    <r>
      <t>18. Sigatoka Amarilla</t>
    </r>
    <r>
      <rPr>
        <sz val="11"/>
        <color theme="1"/>
        <rFont val="Aptos Narrow"/>
        <family val="2"/>
        <scheme val="minor"/>
      </rPr>
      <t xml:space="preserve"> (</t>
    </r>
    <r>
      <rPr>
        <i/>
        <sz val="11"/>
        <color theme="1"/>
        <rFont val="Aptos Narrow"/>
        <family val="2"/>
        <scheme val="minor"/>
      </rPr>
      <t>M. musicola</t>
    </r>
    <r>
      <rPr>
        <sz val="11"/>
        <color theme="1"/>
        <rFont val="Aptos Narrow"/>
        <family val="2"/>
        <scheme val="minor"/>
      </rPr>
      <t>)</t>
    </r>
  </si>
  <si>
    <t>Pequeña mancha verde amarillenta que aparece generalmente en la 3ra o 4ta hoja. Se alarga a una raya amarillosa y el centro se torna marrón rojizo. Manchas con margen definido rodeado por un halo amarillo.</t>
  </si>
  <si>
    <t>Reduce la producción fotosintética, influyendo sobre el peso del racimo. Puede causar madurez prematura.</t>
  </si>
  <si>
    <r>
      <t xml:space="preserve">Hongo </t>
    </r>
    <r>
      <rPr>
        <i/>
        <sz val="11"/>
        <color theme="1"/>
        <rFont val="Aptos Narrow"/>
        <family val="2"/>
        <scheme val="minor"/>
      </rPr>
      <t>Micosphaerella musicola</t>
    </r>
    <r>
      <rPr>
        <sz val="11"/>
        <color theme="1"/>
        <rFont val="Aptos Narrow"/>
        <family val="2"/>
        <scheme val="minor"/>
      </rPr>
      <t>, ligeramente menos agresivo que la Sigatoka Negra.</t>
    </r>
  </si>
  <si>
    <r>
      <t>Microbiológicos: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BACIFORM SC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Bioestimulación:</t>
    </r>
    <r>
      <rPr>
        <sz val="11"/>
        <color theme="1"/>
        <rFont val="Aptos Narrow"/>
        <family val="2"/>
        <scheme val="minor"/>
      </rPr>
      <t xml:space="preserve"> Usar </t>
    </r>
    <r>
      <rPr>
        <b/>
        <sz val="11"/>
        <color theme="1"/>
        <rFont val="Aptos Narrow"/>
        <family val="2"/>
        <scheme val="minor"/>
      </rPr>
      <t>SUMAKCROP Elicitor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Foliar:</t>
    </r>
    <r>
      <rPr>
        <sz val="11"/>
        <color theme="1"/>
        <rFont val="Aptos Narrow"/>
        <family val="2"/>
        <scheme val="minor"/>
      </rPr>
      <t xml:space="preserve"> Usar </t>
    </r>
    <r>
      <rPr>
        <b/>
        <sz val="11"/>
        <color theme="1"/>
        <rFont val="Aptos Narrow"/>
        <family val="2"/>
        <scheme val="minor"/>
      </rPr>
      <t>SUMAKCROP Cu Pentahidratado</t>
    </r>
    <r>
      <rPr>
        <sz val="11"/>
        <color theme="1"/>
        <rFont val="Aptos Narrow"/>
        <family val="2"/>
        <scheme val="minor"/>
      </rPr>
      <t xml:space="preserve"> (controla enfermedades causadas por hongos).</t>
    </r>
  </si>
  <si>
    <r>
      <t>19. Mal de Panamá (Fusarium)</t>
    </r>
    <r>
      <rPr>
        <sz val="11"/>
        <color theme="1"/>
        <rFont val="Aptos Narrow"/>
        <family val="2"/>
        <scheme val="minor"/>
      </rPr>
      <t xml:space="preserve"> (</t>
    </r>
    <r>
      <rPr>
        <i/>
        <sz val="11"/>
        <color theme="1"/>
        <rFont val="Aptos Narrow"/>
        <family val="2"/>
        <scheme val="minor"/>
      </rPr>
      <t>F. oxysporum f. sp. cubense</t>
    </r>
    <r>
      <rPr>
        <sz val="11"/>
        <color theme="1"/>
        <rFont val="Aptos Narrow"/>
        <family val="2"/>
        <scheme val="minor"/>
      </rPr>
      <t>)</t>
    </r>
  </si>
  <si>
    <t>Clorosis en hojas más viejas, amarillamiento a lo largo de los márgenes y colapso del pecíolo. Decoloración marrón-rojizo en el sistema vascular de rizomas, cormos y pseudotallos. Estrías necróticas oscuras o azuladas en cormo.</t>
  </si>
  <si>
    <t>Marchitez de la planta. Impide la normal alimentación. El patógeno puede sobrevivir más de 30 años.</t>
  </si>
  <si>
    <r>
      <t xml:space="preserve">Hongo </t>
    </r>
    <r>
      <rPr>
        <i/>
        <sz val="11"/>
        <color theme="1"/>
        <rFont val="Aptos Narrow"/>
        <family val="2"/>
        <scheme val="minor"/>
      </rPr>
      <t>Fusarium oxysporum f. sp. cubense</t>
    </r>
    <r>
      <rPr>
        <sz val="11"/>
        <color theme="1"/>
        <rFont val="Aptos Narrow"/>
        <family val="2"/>
        <scheme val="minor"/>
      </rPr>
      <t>. Penetra a través de las raíces terciarias.</t>
    </r>
  </si>
  <si>
    <r>
      <t>Enmiendas:</t>
    </r>
    <r>
      <rPr>
        <sz val="11"/>
        <color theme="1"/>
        <rFont val="Aptos Narrow"/>
        <family val="2"/>
        <scheme val="minor"/>
      </rPr>
      <t xml:space="preserve"> Tratamiento con cal agrícola (ej. </t>
    </r>
    <r>
      <rPr>
        <b/>
        <sz val="11"/>
        <color theme="1"/>
        <rFont val="Aptos Narrow"/>
        <family val="2"/>
        <scheme val="minor"/>
      </rPr>
      <t>SUMAKCROP Calcio Plus</t>
    </r>
    <r>
      <rPr>
        <sz val="11"/>
        <color theme="1"/>
        <rFont val="Aptos Narrow"/>
        <family val="2"/>
        <scheme val="minor"/>
      </rPr>
      <t>) disminuye la población en suelos ácidos. Aplicar Silicio (</t>
    </r>
    <r>
      <rPr>
        <b/>
        <sz val="11"/>
        <color theme="1"/>
        <rFont val="Aptos Narrow"/>
        <family val="2"/>
        <scheme val="minor"/>
      </rPr>
      <t>SUMAKCROP DiatoMaxSoil</t>
    </r>
    <r>
      <rPr>
        <sz val="11"/>
        <color theme="1"/>
        <rFont val="Aptos Narrow"/>
        <family val="2"/>
        <scheme val="minor"/>
      </rPr>
      <t xml:space="preserve">) como agente antiestrés y promotor de lignina. </t>
    </r>
    <r>
      <rPr>
        <b/>
        <sz val="11"/>
        <color theme="1"/>
        <rFont val="Aptos Narrow"/>
        <family val="2"/>
        <scheme val="minor"/>
      </rPr>
      <t>Microbiológicos: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TrichoProb plus</t>
    </r>
    <r>
      <rPr>
        <sz val="11"/>
        <color theme="1"/>
        <rFont val="Aptos Narrow"/>
        <family val="2"/>
        <scheme val="minor"/>
      </rPr>
      <t xml:space="preserve"> (elimina patógenos del suelo, estimula crecimiento).</t>
    </r>
  </si>
  <si>
    <r>
      <t>20. Pudrición Bacterial/Acuosa del Pseudotallo</t>
    </r>
    <r>
      <rPr>
        <sz val="11"/>
        <color theme="1"/>
        <rFont val="Aptos Narrow"/>
        <family val="2"/>
        <scheme val="minor"/>
      </rPr>
      <t xml:space="preserve"> (</t>
    </r>
    <r>
      <rPr>
        <i/>
        <sz val="11"/>
        <color theme="1"/>
        <rFont val="Aptos Narrow"/>
        <family val="2"/>
        <scheme val="minor"/>
      </rPr>
      <t>Erwinia spp.</t>
    </r>
    <r>
      <rPr>
        <sz val="11"/>
        <color theme="1"/>
        <rFont val="Aptos Narrow"/>
        <family val="2"/>
        <scheme val="minor"/>
      </rPr>
      <t xml:space="preserve"> / </t>
    </r>
    <r>
      <rPr>
        <i/>
        <sz val="11"/>
        <color theme="1"/>
        <rFont val="Aptos Narrow"/>
        <family val="2"/>
        <scheme val="minor"/>
      </rPr>
      <t>Dickeya chrysanthemi</t>
    </r>
    <r>
      <rPr>
        <sz val="11"/>
        <color theme="1"/>
        <rFont val="Aptos Narrow"/>
        <family val="2"/>
        <scheme val="minor"/>
      </rPr>
      <t>)</t>
    </r>
  </si>
  <si>
    <t>Exudado bacteriano nauseabundo en pseudotallo y yaguas externas. Pudrición suave y olor desagradable. Manchas acuosas/translúcidas, luego rojizas/castaño oscuro. Necrosis de la hoja candela.</t>
  </si>
  <si>
    <t>Las plantas se doblan. Debilitamiento basal, con pérdida de la cosecha. Planta se pudre por capas hasta el centro.</t>
  </si>
  <si>
    <r>
      <t xml:space="preserve">Bacterias </t>
    </r>
    <r>
      <rPr>
        <i/>
        <sz val="11"/>
        <color theme="1"/>
        <rFont val="Aptos Narrow"/>
        <family val="2"/>
        <scheme val="minor"/>
      </rPr>
      <t>Erwinia spp.</t>
    </r>
    <r>
      <rPr>
        <sz val="11"/>
        <color theme="1"/>
        <rFont val="Aptos Narrow"/>
        <family val="2"/>
        <scheme val="minor"/>
      </rPr>
      <t xml:space="preserve"> o </t>
    </r>
    <r>
      <rPr>
        <i/>
        <sz val="11"/>
        <color theme="1"/>
        <rFont val="Aptos Narrow"/>
        <family val="2"/>
        <scheme val="minor"/>
      </rPr>
      <t>Dickeya chrysanthemi</t>
    </r>
    <r>
      <rPr>
        <sz val="11"/>
        <color theme="1"/>
        <rFont val="Aptos Narrow"/>
        <family val="2"/>
        <scheme val="minor"/>
      </rPr>
      <t>. Asociada a plan de fertilización inadecuado (déficit de K y B).</t>
    </r>
  </si>
  <si>
    <r>
      <t>Nutrición Foliar: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Cu Pentahidratado</t>
    </r>
    <r>
      <rPr>
        <sz val="11"/>
        <color theme="1"/>
        <rFont val="Aptos Narrow"/>
        <family val="2"/>
        <scheme val="minor"/>
      </rPr>
      <t xml:space="preserve"> (25.00% Cu) para controlar enfermedades causadas por bacterias. </t>
    </r>
    <r>
      <rPr>
        <b/>
        <sz val="11"/>
        <color theme="1"/>
        <rFont val="Aptos Narrow"/>
        <family val="2"/>
        <scheme val="minor"/>
      </rPr>
      <t>Bioestimulación: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Elicitor</t>
    </r>
    <r>
      <rPr>
        <sz val="11"/>
        <color theme="1"/>
        <rFont val="Aptos Narrow"/>
        <family val="2"/>
        <scheme val="minor"/>
      </rPr>
      <t xml:space="preserve"> (induce resistencia ante bacterias). </t>
    </r>
    <r>
      <rPr>
        <b/>
        <sz val="11"/>
        <color theme="1"/>
        <rFont val="Aptos Narrow"/>
        <family val="2"/>
        <scheme val="minor"/>
      </rPr>
      <t>Fertilización:</t>
    </r>
    <r>
      <rPr>
        <sz val="11"/>
        <color theme="1"/>
        <rFont val="Aptos Narrow"/>
        <family val="2"/>
        <scheme val="minor"/>
      </rPr>
      <t xml:space="preserve"> Corregir deficiencias de K y B.</t>
    </r>
  </si>
  <si>
    <r>
      <t>21. Moko o Madurabiche</t>
    </r>
    <r>
      <rPr>
        <sz val="11"/>
        <color theme="1"/>
        <rFont val="Aptos Narrow"/>
        <family val="2"/>
        <scheme val="minor"/>
      </rPr>
      <t xml:space="preserve"> (</t>
    </r>
    <r>
      <rPr>
        <i/>
        <sz val="11"/>
        <color theme="1"/>
        <rFont val="Aptos Narrow"/>
        <family val="2"/>
        <scheme val="minor"/>
      </rPr>
      <t>Ralstonia solanacearum</t>
    </r>
    <r>
      <rPr>
        <sz val="11"/>
        <color theme="1"/>
        <rFont val="Aptos Narrow"/>
        <family val="2"/>
        <scheme val="minor"/>
      </rPr>
      <t>)</t>
    </r>
  </si>
  <si>
    <t>La primera, segunda y tercera hoja se tornan amarillas, se doblan a nivel del peciolo. Pudrición y decoloración de los tejidos internos del pseudotallo. Puntos de color marrón/negro en el cormo (haces vasculares afectados).</t>
  </si>
  <si>
    <t>Marchitez de la planta, puede ocurrir pérdida total. Pérdida de la cosecha.</t>
  </si>
  <si>
    <r>
      <t xml:space="preserve">Bacteria </t>
    </r>
    <r>
      <rPr>
        <i/>
        <sz val="11"/>
        <color theme="1"/>
        <rFont val="Aptos Narrow"/>
        <family val="2"/>
        <scheme val="minor"/>
      </rPr>
      <t>Ralstonia solanacearum</t>
    </r>
    <r>
      <rPr>
        <sz val="11"/>
        <color theme="1"/>
        <rFont val="Aptos Narrow"/>
        <family val="2"/>
        <scheme val="minor"/>
      </rPr>
      <t>. Diseminada por semillas, hijos, herramientas, maquinaria, insectos (áfidos).</t>
    </r>
  </si>
  <si>
    <r>
      <t>Nutrición Foliar: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Cu Pentahidratado</t>
    </r>
    <r>
      <rPr>
        <sz val="11"/>
        <color theme="1"/>
        <rFont val="Aptos Narrow"/>
        <family val="2"/>
        <scheme val="minor"/>
      </rPr>
      <t xml:space="preserve"> para control de bacterias. </t>
    </r>
    <r>
      <rPr>
        <b/>
        <sz val="11"/>
        <color theme="1"/>
        <rFont val="Aptos Narrow"/>
        <family val="2"/>
        <scheme val="minor"/>
      </rPr>
      <t>Bioestimulación: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Elicitor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Enmiendas/Microbiológicos:</t>
    </r>
    <r>
      <rPr>
        <sz val="11"/>
        <color theme="1"/>
        <rFont val="Aptos Narrow"/>
        <family val="2"/>
        <scheme val="minor"/>
      </rPr>
      <t xml:space="preserve"> Aplicar microorganismos eficientes al suelo (0,5 l/planta).</t>
    </r>
  </si>
  <si>
    <r>
      <t>22. Picudo Negro</t>
    </r>
    <r>
      <rPr>
        <sz val="11"/>
        <color theme="1"/>
        <rFont val="Aptos Narrow"/>
        <family val="2"/>
        <scheme val="minor"/>
      </rPr>
      <t xml:space="preserve"> (</t>
    </r>
    <r>
      <rPr>
        <i/>
        <sz val="11"/>
        <color theme="1"/>
        <rFont val="Aptos Narrow"/>
        <family val="2"/>
        <scheme val="minor"/>
      </rPr>
      <t>Cosmopolites sordidus</t>
    </r>
    <r>
      <rPr>
        <sz val="11"/>
        <color theme="1"/>
        <rFont val="Aptos Narrow"/>
        <family val="2"/>
        <scheme val="minor"/>
      </rPr>
      <t>)</t>
    </r>
  </si>
  <si>
    <t>Daño al cormo. Debilidad general, amarillamiento, reducción en el crecimiento, tallos delgados. La planta puede volcarse fácilmente.</t>
  </si>
  <si>
    <t>Destrucción del sistema radical. Afecta el crecimiento, tamaño y peso de los frutos. Las galerías son puerta de entrada para patógenos (Moko, Erwinia).</t>
  </si>
  <si>
    <r>
      <t xml:space="preserve">Insecto coleóptero </t>
    </r>
    <r>
      <rPr>
        <i/>
        <sz val="11"/>
        <color theme="1"/>
        <rFont val="Aptos Narrow"/>
        <family val="2"/>
        <scheme val="minor"/>
      </rPr>
      <t>Cosmopolites sordidus</t>
    </r>
    <r>
      <rPr>
        <sz val="11"/>
        <color theme="1"/>
        <rFont val="Aptos Narrow"/>
        <family val="2"/>
        <scheme val="minor"/>
      </rPr>
      <t>. La larva causa el daño al alimentarse dentro del rizoma.</t>
    </r>
  </si>
  <si>
    <r>
      <t>Microbiológicos: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BUGFORM PLUS SC</t>
    </r>
    <r>
      <rPr>
        <sz val="11"/>
        <color theme="1"/>
        <rFont val="Aptos Narrow"/>
        <family val="2"/>
        <scheme val="minor"/>
      </rPr>
      <t xml:space="preserve"> (contiene </t>
    </r>
    <r>
      <rPr>
        <i/>
        <sz val="11"/>
        <color theme="1"/>
        <rFont val="Aptos Narrow"/>
        <family val="2"/>
        <scheme val="minor"/>
      </rPr>
      <t>Beauveria bassiana</t>
    </r>
    <r>
      <rPr>
        <sz val="11"/>
        <color theme="1"/>
        <rFont val="Aptos Narrow"/>
        <family val="2"/>
        <scheme val="minor"/>
      </rPr>
      <t xml:space="preserve"> y </t>
    </r>
    <r>
      <rPr>
        <i/>
        <sz val="11"/>
        <color theme="1"/>
        <rFont val="Aptos Narrow"/>
        <family val="2"/>
        <scheme val="minor"/>
      </rPr>
      <t>Bacillus thuringiensis</t>
    </r>
    <r>
      <rPr>
        <sz val="11"/>
        <color theme="1"/>
        <rFont val="Aptos Narrow"/>
        <family val="2"/>
        <scheme val="minor"/>
      </rPr>
      <t xml:space="preserve">, degrada la cutícula del insecto). </t>
    </r>
    <r>
      <rPr>
        <b/>
        <sz val="11"/>
        <color theme="1"/>
        <rFont val="Aptos Narrow"/>
        <family val="2"/>
        <scheme val="minor"/>
      </rPr>
      <t>Enmiendas: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SUMAKCROP DiatoMaxSoil</t>
    </r>
    <r>
      <rPr>
        <sz val="11"/>
        <color theme="1"/>
        <rFont val="Aptos Narrow"/>
        <family val="2"/>
        <scheme val="minor"/>
      </rPr>
      <t xml:space="preserve"> (barrera física natural).</t>
    </r>
  </si>
  <si>
    <r>
      <t>23. Nematodos</t>
    </r>
    <r>
      <rPr>
        <sz val="11"/>
        <color theme="1"/>
        <rFont val="Aptos Narrow"/>
        <family val="2"/>
        <scheme val="minor"/>
      </rPr>
      <t xml:space="preserve"> (</t>
    </r>
    <r>
      <rPr>
        <i/>
        <sz val="11"/>
        <color theme="1"/>
        <rFont val="Aptos Narrow"/>
        <family val="2"/>
        <scheme val="minor"/>
      </rPr>
      <t>Radopholus similis, Pratylenchus coffeae, etc.</t>
    </r>
    <r>
      <rPr>
        <sz val="11"/>
        <color theme="1"/>
        <rFont val="Aptos Narrow"/>
        <family val="2"/>
        <scheme val="minor"/>
      </rPr>
      <t>)</t>
    </r>
  </si>
  <si>
    <t>Pérdida de raíces, racimos de bajo peso. Pérdida del sistema de anclaje y nutrición. Factor predisponente para el Mal de Panamá (Fusarium).</t>
  </si>
  <si>
    <r>
      <t>Parásitos de la planta (</t>
    </r>
    <r>
      <rPr>
        <i/>
        <sz val="11"/>
        <color theme="1"/>
        <rFont val="Aptos Narrow"/>
        <family val="2"/>
        <scheme val="minor"/>
      </rPr>
      <t>Radopholus similis</t>
    </r>
    <r>
      <rPr>
        <sz val="11"/>
        <color theme="1"/>
        <rFont val="Aptos Narrow"/>
        <family val="2"/>
        <scheme val="minor"/>
      </rPr>
      <t xml:space="preserve"> más frecuente).</t>
    </r>
  </si>
  <si>
    <r>
      <t>Enmiendas:</t>
    </r>
    <r>
      <rPr>
        <sz val="11"/>
        <color theme="1"/>
        <rFont val="Aptos Narrow"/>
        <family val="2"/>
        <scheme val="minor"/>
      </rPr>
      <t xml:space="preserve"> Aplicar Silicio con </t>
    </r>
    <r>
      <rPr>
        <b/>
        <sz val="11"/>
        <color theme="1"/>
        <rFont val="Aptos Narrow"/>
        <family val="2"/>
        <scheme val="minor"/>
      </rPr>
      <t>SUMAKCROP DiatoMaxSoil</t>
    </r>
    <r>
      <rPr>
        <sz val="11"/>
        <color theme="1"/>
        <rFont val="Aptos Narrow"/>
        <family val="2"/>
        <scheme val="minor"/>
      </rPr>
      <t xml:space="preserve"> (73.85% Silicio) que actúa como barrera física natural al degradar el exoesqueleto de organismos dañinos. </t>
    </r>
    <r>
      <rPr>
        <b/>
        <sz val="11"/>
        <color theme="1"/>
        <rFont val="Aptos Narrow"/>
        <family val="2"/>
        <scheme val="minor"/>
      </rPr>
      <t>Microbiológicos: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TrichoProb plus</t>
    </r>
    <r>
      <rPr>
        <sz val="11"/>
        <color theme="1"/>
        <rFont val="Aptos Narrow"/>
        <family val="2"/>
        <scheme val="minor"/>
      </rPr>
      <t xml:space="preserve"> (elimina patógenos del suelo y estimula crecimiento radical).</t>
    </r>
  </si>
  <si>
    <r>
      <t>24. Picudo Rayado o Amarillo</t>
    </r>
    <r>
      <rPr>
        <sz val="11"/>
        <color theme="1"/>
        <rFont val="Aptos Narrow"/>
        <family val="2"/>
        <scheme val="minor"/>
      </rPr>
      <t xml:space="preserve"> (</t>
    </r>
    <r>
      <rPr>
        <i/>
        <sz val="11"/>
        <color theme="1"/>
        <rFont val="Aptos Narrow"/>
        <family val="2"/>
        <scheme val="minor"/>
      </rPr>
      <t>Metamasius spp.</t>
    </r>
    <r>
      <rPr>
        <sz val="11"/>
        <color theme="1"/>
        <rFont val="Aptos Narrow"/>
        <family val="2"/>
        <scheme val="minor"/>
      </rPr>
      <t>)</t>
    </r>
  </si>
  <si>
    <t>Galerías profundas y pudrición en el pseudotallo y el cormo. Hojas externas amarillas y mueren.</t>
  </si>
  <si>
    <r>
      <t>La planta se dobla al momento del llenado del racimo. Disemina la Bacteriosis (</t>
    </r>
    <r>
      <rPr>
        <i/>
        <sz val="11"/>
        <color theme="1"/>
        <rFont val="Aptos Narrow"/>
        <family val="2"/>
        <scheme val="minor"/>
      </rPr>
      <t>Dickeya chrysanthemi</t>
    </r>
    <r>
      <rPr>
        <sz val="11"/>
        <color theme="1"/>
        <rFont val="Aptos Narrow"/>
        <family val="2"/>
        <scheme val="minor"/>
      </rPr>
      <t>).</t>
    </r>
  </si>
  <si>
    <r>
      <t xml:space="preserve">Larva del coleóptero </t>
    </r>
    <r>
      <rPr>
        <i/>
        <sz val="11"/>
        <color theme="1"/>
        <rFont val="Aptos Narrow"/>
        <family val="2"/>
        <scheme val="minor"/>
      </rPr>
      <t>Metamasius spp.</t>
    </r>
    <r>
      <rPr>
        <sz val="11"/>
        <color theme="1"/>
        <rFont val="Aptos Narrow"/>
        <family val="2"/>
        <scheme val="minor"/>
      </rPr>
      <t xml:space="preserve"> La presencia se relaciona con desbalances o deficiencias nutricionales (Potasio y Boro).</t>
    </r>
  </si>
  <si>
    <r>
      <t>Microbiológicos: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BUGFORM PLUS SC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Fertilización/Enmiendas:</t>
    </r>
    <r>
      <rPr>
        <sz val="11"/>
        <color theme="1"/>
        <rFont val="Aptos Narrow"/>
        <family val="2"/>
        <scheme val="minor"/>
      </rPr>
      <t xml:space="preserve"> Corregir deficiencias de Boro y Potasio. Aplicar </t>
    </r>
    <r>
      <rPr>
        <b/>
        <sz val="11"/>
        <color theme="1"/>
        <rFont val="Aptos Narrow"/>
        <family val="2"/>
        <scheme val="minor"/>
      </rPr>
      <t>SUMAKCROP DiatoMaxSoil</t>
    </r>
    <r>
      <rPr>
        <sz val="11"/>
        <color theme="1"/>
        <rFont val="Aptos Narrow"/>
        <family val="2"/>
        <scheme val="minor"/>
      </rPr>
      <t xml:space="preserve"> (barrera física).</t>
    </r>
  </si>
  <si>
    <r>
      <t>25. Taladrador</t>
    </r>
    <r>
      <rPr>
        <sz val="11"/>
        <color theme="1"/>
        <rFont val="Aptos Narrow"/>
        <family val="2"/>
        <scheme val="minor"/>
      </rPr>
      <t xml:space="preserve"> (</t>
    </r>
    <r>
      <rPr>
        <i/>
        <sz val="11"/>
        <color theme="1"/>
        <rFont val="Aptos Narrow"/>
        <family val="2"/>
        <scheme val="minor"/>
      </rPr>
      <t>Castniomera humboldti</t>
    </r>
    <r>
      <rPr>
        <sz val="11"/>
        <color theme="1"/>
        <rFont val="Aptos Narrow"/>
        <family val="2"/>
        <scheme val="minor"/>
      </rPr>
      <t>)</t>
    </r>
  </si>
  <si>
    <t>Galerías profundas en el pseudotallo y el cormo. La planta puede secarse (hoja "candela").</t>
  </si>
  <si>
    <t>Destrucción de los tejidos conductores del pseudotallo. Afecta el crecimiento, tamaño y peso de los frutos.</t>
  </si>
  <si>
    <t>Larva de lepidóptero que barreña rizoma y pseudotallo.</t>
  </si>
  <si>
    <r>
      <t>Microbiológicos:</t>
    </r>
    <r>
      <rPr>
        <sz val="11"/>
        <color theme="1"/>
        <rFont val="Aptos Narrow"/>
        <family val="2"/>
        <scheme val="minor"/>
      </rPr>
      <t xml:space="preserve"> Usar </t>
    </r>
    <r>
      <rPr>
        <b/>
        <sz val="11"/>
        <color theme="1"/>
        <rFont val="Aptos Narrow"/>
        <family val="2"/>
        <scheme val="minor"/>
      </rPr>
      <t>BUGFORM PLUS SC</t>
    </r>
    <r>
      <rPr>
        <sz val="11"/>
        <color theme="1"/>
        <rFont val="Aptos Narrow"/>
        <family val="2"/>
        <scheme val="minor"/>
      </rPr>
      <t xml:space="preserve"> (control de plagas mediante contacto/ingestión, especialmente lepidópteros).</t>
    </r>
  </si>
  <si>
    <r>
      <t>26. Chinche Hedionda</t>
    </r>
    <r>
      <rPr>
        <sz val="11"/>
        <color theme="1"/>
        <rFont val="Aptos Narrow"/>
        <family val="2"/>
        <scheme val="minor"/>
      </rPr>
      <t xml:space="preserve"> (</t>
    </r>
    <r>
      <rPr>
        <i/>
        <sz val="11"/>
        <color theme="1"/>
        <rFont val="Aptos Narrow"/>
        <family val="2"/>
        <scheme val="minor"/>
      </rPr>
      <t>Scaptocoris divergens</t>
    </r>
    <r>
      <rPr>
        <sz val="11"/>
        <color theme="1"/>
        <rFont val="Aptos Narrow"/>
        <family val="2"/>
        <scheme val="minor"/>
      </rPr>
      <t>)</t>
    </r>
  </si>
  <si>
    <t>Lesiones en las raíces. Síntomas externos de amarillamiento en las hojas y retardo del desarrollo del racimo.</t>
  </si>
  <si>
    <t>El sistema radical es reducido funcionalmente. Baja absorción de nutrientes y agua. Pérdida de anclaje.</t>
  </si>
  <si>
    <t>Insecto hemíptero (Cydnidae) cuyas ninfas y adultos pican y succionan savia de las raíces e inyectan toxinas.</t>
  </si>
  <si>
    <r>
      <t>Microbiológicos: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BUGFORM PLUS SC</t>
    </r>
    <r>
      <rPr>
        <sz val="11"/>
        <color theme="1"/>
        <rFont val="Aptos Narrow"/>
        <family val="2"/>
        <scheme val="minor"/>
      </rPr>
      <t>.</t>
    </r>
  </si>
  <si>
    <r>
      <t>27. Cochinillas Harinosas</t>
    </r>
    <r>
      <rPr>
        <sz val="11"/>
        <color theme="1"/>
        <rFont val="Aptos Narrow"/>
        <family val="2"/>
        <scheme val="minor"/>
      </rPr>
      <t xml:space="preserve"> (</t>
    </r>
    <r>
      <rPr>
        <i/>
        <sz val="11"/>
        <color theme="1"/>
        <rFont val="Aptos Narrow"/>
        <family val="2"/>
        <scheme val="minor"/>
      </rPr>
      <t>Pseudococcus spp.</t>
    </r>
    <r>
      <rPr>
        <sz val="11"/>
        <color theme="1"/>
        <rFont val="Aptos Narrow"/>
        <family val="2"/>
        <scheme val="minor"/>
      </rPr>
      <t>)</t>
    </r>
  </si>
  <si>
    <r>
      <t xml:space="preserve">Fumagina (hongo negro, </t>
    </r>
    <r>
      <rPr>
        <i/>
        <sz val="11"/>
        <color theme="1"/>
        <rFont val="Aptos Narrow"/>
        <family val="2"/>
        <scheme val="minor"/>
      </rPr>
      <t>Capnodium spp.</t>
    </r>
    <r>
      <rPr>
        <sz val="11"/>
        <color theme="1"/>
        <rFont val="Aptos Narrow"/>
        <family val="2"/>
        <scheme val="minor"/>
      </rPr>
      <t>) en frutos, coronas y pseudotallo. Manchas algodonosas, lesiones pequeñas y agrietamientos en frutos.</t>
    </r>
  </si>
  <si>
    <t>Rechazo de la fruta en mercados de exportación. Causa una costra negra adherida al fruto que no se puede remover. Vector potencial del Virus Estriado del Banano (BSV).</t>
  </si>
  <si>
    <r>
      <t>Nutrición Foliar: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SANIFRUT</t>
    </r>
    <r>
      <rPr>
        <sz val="11"/>
        <color theme="1"/>
        <rFont val="Aptos Narrow"/>
        <family val="2"/>
        <scheme val="minor"/>
      </rPr>
      <t xml:space="preserve"> (Producto natural efectivo para el control y prevención de plagas, especialmente cochinillas).</t>
    </r>
  </si>
  <si>
    <r>
      <t>28. Escamas</t>
    </r>
    <r>
      <rPr>
        <sz val="11"/>
        <color theme="1"/>
        <rFont val="Aptos Narrow"/>
        <family val="2"/>
        <scheme val="minor"/>
      </rPr>
      <t xml:space="preserve"> (</t>
    </r>
    <r>
      <rPr>
        <i/>
        <sz val="11"/>
        <color theme="1"/>
        <rFont val="Aptos Narrow"/>
        <family val="2"/>
        <scheme val="minor"/>
      </rPr>
      <t>Diaspis boisduvalii, Aspidiotus spp.</t>
    </r>
    <r>
      <rPr>
        <sz val="11"/>
        <color theme="1"/>
        <rFont val="Aptos Narrow"/>
        <family val="2"/>
        <scheme val="minor"/>
      </rPr>
      <t>)</t>
    </r>
  </si>
  <si>
    <t>Maduración desuniforme y presencia del insecto en frutos. Lesiones que causan una madurez desuniforme de los frutos.</t>
  </si>
  <si>
    <t>Las excretas del insecto forman fumagina, que afecta la fotosíntesis. Las lesiones afectan la calidad de la fruta.</t>
  </si>
  <si>
    <t>Insectos chupadores (Hemiptera: Diaspididae). Las hembras se alimentan de la savia del pseudotallo, hojas o fruto.</t>
  </si>
  <si>
    <r>
      <t>Nutrición Foliar: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SANIFRUT</t>
    </r>
    <r>
      <rPr>
        <sz val="11"/>
        <color theme="1"/>
        <rFont val="Aptos Narrow"/>
        <family val="2"/>
        <scheme val="minor"/>
      </rPr>
      <t>.</t>
    </r>
  </si>
  <si>
    <r>
      <t>29. Trips de la Mancha Roja</t>
    </r>
    <r>
      <rPr>
        <sz val="11"/>
        <color theme="1"/>
        <rFont val="Aptos Narrow"/>
        <family val="2"/>
        <scheme val="minor"/>
      </rPr>
      <t xml:space="preserve"> (</t>
    </r>
    <r>
      <rPr>
        <i/>
        <sz val="11"/>
        <color theme="1"/>
        <rFont val="Aptos Narrow"/>
        <family val="2"/>
        <scheme val="minor"/>
      </rPr>
      <t>Chaetanaphothrips orchidii</t>
    </r>
    <r>
      <rPr>
        <sz val="11"/>
        <color theme="1"/>
        <rFont val="Aptos Narrow"/>
        <family val="2"/>
        <scheme val="minor"/>
      </rPr>
      <t>)</t>
    </r>
  </si>
  <si>
    <t>Rayas rojizas en frutos. Daño severo puede cubrir la superficie de la fruta con coloración rojiza/negra y grietas superficiales.</t>
  </si>
  <si>
    <r>
      <t>Trips (</t>
    </r>
    <r>
      <rPr>
        <i/>
        <sz val="11"/>
        <color theme="1"/>
        <rFont val="Aptos Narrow"/>
        <family val="2"/>
        <scheme val="minor"/>
      </rPr>
      <t>Chaetanaphothrips orchidii</t>
    </r>
    <r>
      <rPr>
        <sz val="11"/>
        <color theme="1"/>
        <rFont val="Aptos Narrow"/>
        <family val="2"/>
        <scheme val="minor"/>
      </rPr>
      <t>). Prefieren alimentarse en flores, follaje y frutas muy jóvenes.</t>
    </r>
  </si>
  <si>
    <r>
      <t>30. Trips de la Flor</t>
    </r>
    <r>
      <rPr>
        <sz val="11"/>
        <color theme="1"/>
        <rFont val="Aptos Narrow"/>
        <family val="2"/>
        <scheme val="minor"/>
      </rPr>
      <t xml:space="preserve"> (</t>
    </r>
    <r>
      <rPr>
        <i/>
        <sz val="11"/>
        <color theme="1"/>
        <rFont val="Aptos Narrow"/>
        <family val="2"/>
        <scheme val="minor"/>
      </rPr>
      <t>Frankliniella parvula</t>
    </r>
    <r>
      <rPr>
        <sz val="11"/>
        <color theme="1"/>
        <rFont val="Aptos Narrow"/>
        <family val="2"/>
        <scheme val="minor"/>
      </rPr>
      <t>)</t>
    </r>
  </si>
  <si>
    <t>Punciones o picaduras al alimentarse en flores y frutos jóvenes. Pequeñas manchas marrones en forma de verrugas sobre la cáscara.</t>
  </si>
  <si>
    <t>Reducción del valor comercial de las frutas.</t>
  </si>
  <si>
    <r>
      <t>Trips (</t>
    </r>
    <r>
      <rPr>
        <i/>
        <sz val="11"/>
        <color theme="1"/>
        <rFont val="Aptos Narrow"/>
        <family val="2"/>
        <scheme val="minor"/>
      </rPr>
      <t>Frankliniella parvula</t>
    </r>
    <r>
      <rPr>
        <sz val="11"/>
        <color theme="1"/>
        <rFont val="Aptos Narrow"/>
        <family val="2"/>
        <scheme val="minor"/>
      </rPr>
      <t>).</t>
    </r>
  </si>
  <si>
    <r>
      <t>31. Áfido del Banano (Pulgón)</t>
    </r>
    <r>
      <rPr>
        <sz val="11"/>
        <color theme="1"/>
        <rFont val="Aptos Narrow"/>
        <family val="2"/>
        <scheme val="minor"/>
      </rPr>
      <t xml:space="preserve"> (</t>
    </r>
    <r>
      <rPr>
        <i/>
        <sz val="11"/>
        <color theme="1"/>
        <rFont val="Aptos Narrow"/>
        <family val="2"/>
        <scheme val="minor"/>
      </rPr>
      <t>Pentalonia nigronervosa</t>
    </r>
    <r>
      <rPr>
        <sz val="11"/>
        <color theme="1"/>
        <rFont val="Aptos Narrow"/>
        <family val="2"/>
        <scheme val="minor"/>
      </rPr>
      <t>)</t>
    </r>
  </si>
  <si>
    <t>Fumagina en las coronas y epidermis de los frutos. Lesiones producidas por succión y secreciones de ligamasa.</t>
  </si>
  <si>
    <r>
      <t xml:space="preserve">Mancha negra en frutos (no aptos para exportación). </t>
    </r>
    <r>
      <rPr>
        <b/>
        <sz val="11"/>
        <color theme="1"/>
        <rFont val="Aptos Narrow"/>
        <family val="2"/>
        <scheme val="minor"/>
      </rPr>
      <t>Vector de virus</t>
    </r>
    <r>
      <rPr>
        <sz val="11"/>
        <color theme="1"/>
        <rFont val="Aptos Narrow"/>
        <family val="2"/>
        <scheme val="minor"/>
      </rPr>
      <t xml:space="preserve"> (BBTV y CMV).</t>
    </r>
  </si>
  <si>
    <t>Áfido chupador (Hemiptera: Aphididae). Su presencia favorece el desarrollo de la fumagina.</t>
  </si>
  <si>
    <r>
      <t>Bioestimulación: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Elicitor</t>
    </r>
    <r>
      <rPr>
        <sz val="11"/>
        <color theme="1"/>
        <rFont val="Aptos Narrow"/>
        <family val="2"/>
        <scheme val="minor"/>
      </rPr>
      <t xml:space="preserve"> (induce resistencia ante virus y estrés). </t>
    </r>
    <r>
      <rPr>
        <b/>
        <sz val="11"/>
        <color theme="1"/>
        <rFont val="Aptos Narrow"/>
        <family val="2"/>
        <scheme val="minor"/>
      </rPr>
      <t>Nutrición Foliar: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SANIFRUT</t>
    </r>
    <r>
      <rPr>
        <sz val="11"/>
        <color theme="1"/>
        <rFont val="Aptos Narrow"/>
        <family val="2"/>
        <scheme val="minor"/>
      </rPr>
      <t xml:space="preserve"> (efectivo contra pulgón).</t>
    </r>
  </si>
  <si>
    <t>32. Virus Estriado del Banano (BSV)</t>
  </si>
  <si>
    <t>Rayado clorótico, amarillento continuo o interrumpido en bandas paralelas a las venas secundarias (síntomas leves). Agrietamiento y pudrición de la yagua en la base del cormo.</t>
  </si>
  <si>
    <r>
      <t>Bioestimulación: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Elicitor</t>
    </r>
    <r>
      <rPr>
        <sz val="11"/>
        <color theme="1"/>
        <rFont val="Aptos Narrow"/>
        <family val="2"/>
        <scheme val="minor"/>
      </rPr>
      <t xml:space="preserve"> (Ácido Salicílico, induce resistencia de las plantas ante patógenos como virus).</t>
    </r>
  </si>
  <si>
    <t>33. Virus del Mosaico del Pepinillo (CMV)</t>
  </si>
  <si>
    <t>Mosaico amarillo en las hojas, paralelo a las venas secundarias. Corrugamiento de las hojas y engrosamiento de las nervaduras secundarias.</t>
  </si>
  <si>
    <t>Interfiere con el desarrollo de las raíces, mata las existentes, reduce el vigor de las plantas. Reducción en el rendimiento y bajo peso de los racimos.</t>
  </si>
  <si>
    <r>
      <t>Virus transmitido por áfidos (</t>
    </r>
    <r>
      <rPr>
        <i/>
        <sz val="11"/>
        <color theme="1"/>
        <rFont val="Aptos Narrow"/>
        <family val="2"/>
        <scheme val="minor"/>
      </rPr>
      <t>Aphis gossypii, Mysus persicae</t>
    </r>
    <r>
      <rPr>
        <sz val="11"/>
        <color theme="1"/>
        <rFont val="Aptos Narrow"/>
        <family val="2"/>
        <scheme val="minor"/>
      </rPr>
      <t>).</t>
    </r>
  </si>
  <si>
    <r>
      <t>Bioestimulación: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Elicitor</t>
    </r>
    <r>
      <rPr>
        <sz val="11"/>
        <color theme="1"/>
        <rFont val="Aptos Narrow"/>
        <family val="2"/>
        <scheme val="minor"/>
      </rPr>
      <t>.</t>
    </r>
  </si>
  <si>
    <t>34. Desbalance de la Relación K/Mg</t>
  </si>
  <si>
    <t>Síntomas de deficiencia de Magnesio (clorosis central, moteado de pecíolos, coloración azulada).</t>
  </si>
  <si>
    <t>Afecta el peso y el grosor de la fruta.</t>
  </si>
  <si>
    <t>Relación Potasio/Magnesio foliar fuera del rango óptimo (5 a 8). Carencia de Mg, la cual es común en suelos arenosos o muy arcillosos.</t>
  </si>
  <si>
    <r>
      <t>Nutrición Foliar: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Mg</t>
    </r>
    <r>
      <rPr>
        <sz val="11"/>
        <color theme="1"/>
        <rFont val="Aptos Narrow"/>
        <family val="2"/>
        <scheme val="minor"/>
      </rPr>
      <t xml:space="preserve"> (9.00% MgO) para restablecer niveles de Mg. </t>
    </r>
    <r>
      <rPr>
        <b/>
        <sz val="11"/>
        <color theme="1"/>
        <rFont val="Aptos Narrow"/>
        <family val="2"/>
        <scheme val="minor"/>
      </rPr>
      <t>Enmiendas: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DUNCAMAG</t>
    </r>
    <r>
      <rPr>
        <sz val="11"/>
        <color theme="1"/>
        <rFont val="Aptos Narrow"/>
        <family val="2"/>
        <scheme val="minor"/>
      </rPr>
      <t>.</t>
    </r>
  </si>
  <si>
    <t>35. Baja Capacidad de Intercambio Catiónico (CIC)</t>
  </si>
  <si>
    <t>No presenta síntomas visuales directos en la planta (problema edáfico).</t>
  </si>
  <si>
    <t>Baja retención de nutrientes. Bajo PSB (Porcentaje de Saturación de Bases).</t>
  </si>
  <si>
    <t>Baja CIC del suelo (ej. 13.9 meq/100 g).</t>
  </si>
  <si>
    <r>
      <t>Enmiendas: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Soluble Granulated Humic Acid</t>
    </r>
    <r>
      <rPr>
        <sz val="11"/>
        <color theme="1"/>
        <rFont val="Aptos Narrow"/>
        <family val="2"/>
        <scheme val="minor"/>
      </rPr>
      <t xml:space="preserve"> (60% Ácido Húmico) o </t>
    </r>
    <r>
      <rPr>
        <b/>
        <sz val="11"/>
        <color theme="1"/>
        <rFont val="Aptos Narrow"/>
        <family val="2"/>
        <scheme val="minor"/>
      </rPr>
      <t>SUMAKCROP MAX SOIL PLUS</t>
    </r>
    <r>
      <rPr>
        <sz val="11"/>
        <color theme="1"/>
        <rFont val="Aptos Narrow"/>
        <family val="2"/>
        <scheme val="minor"/>
      </rPr>
      <t xml:space="preserve"> para aumentar la fertilidad y capacidad nutricional.</t>
    </r>
  </si>
  <si>
    <t>36. Profundidad del Suelo Restringida</t>
  </si>
  <si>
    <t>Raíces cortas, poco profundas y delgadas. Masa de raíces por debajo del nivel adecuado (&gt; 400 a 500 g).</t>
  </si>
  <si>
    <t>Baja exploración de raíces en el suelo para captar agua y nutrientes. Déficit de masa de raíces.</t>
  </si>
  <si>
    <t>Capa física restrictiva o compactación.</t>
  </si>
  <si>
    <r>
      <t>Enmiendas: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Root Soil</t>
    </r>
    <r>
      <rPr>
        <sz val="11"/>
        <color theme="1"/>
        <rFont val="Aptos Narrow"/>
        <family val="2"/>
        <scheme val="minor"/>
      </rPr>
      <t xml:space="preserve"> (estimula el crecimiento radical, descompacta los suelos). </t>
    </r>
    <r>
      <rPr>
        <b/>
        <sz val="11"/>
        <color theme="1"/>
        <rFont val="Aptos Narrow"/>
        <family val="2"/>
        <scheme val="minor"/>
      </rPr>
      <t>Bioestimulación:</t>
    </r>
    <r>
      <rPr>
        <sz val="11"/>
        <color theme="1"/>
        <rFont val="Aptos Narrow"/>
        <family val="2"/>
        <scheme val="minor"/>
      </rPr>
      <t xml:space="preserve"> Usar productos que promueven la elongación de la raíz (e.g., </t>
    </r>
    <r>
      <rPr>
        <b/>
        <sz val="11"/>
        <color theme="1"/>
        <rFont val="Aptos Narrow"/>
        <family val="2"/>
        <scheme val="minor"/>
      </rPr>
      <t>SUMAKCROP Energy Gold</t>
    </r>
    <r>
      <rPr>
        <sz val="11"/>
        <color theme="1"/>
        <rFont val="Aptos Narrow"/>
        <family val="2"/>
        <scheme val="minor"/>
      </rPr>
      <t>).</t>
    </r>
  </si>
  <si>
    <t>37. Toxicidad de Cobre (Cu)</t>
  </si>
  <si>
    <t>No se describen síntomas visuales de toxicidad en banano en las fuentes, pero sí niveles en exceso en el análisis de suelo (ej. 13.5 a 23.44 mg/kg).</t>
  </si>
  <si>
    <t>Podría disminuir el crecimiento y la producción.</t>
  </si>
  <si>
    <t>Exceso de Cobre (Cu) en el suelo.</t>
  </si>
  <si>
    <r>
      <t>Enmiendas: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DiatoMaxSoil</t>
    </r>
    <r>
      <rPr>
        <sz val="11"/>
        <color theme="1"/>
        <rFont val="Aptos Narrow"/>
        <family val="2"/>
        <scheme val="minor"/>
      </rPr>
      <t xml:space="preserve"> (Silicio) para ayudar a neutralizar elementos tóxicos.</t>
    </r>
  </si>
  <si>
    <t>38. Dilución de Nutrientes (Estrés por Bajas Dosis)</t>
  </si>
  <si>
    <t>Análisis foliares salen iguales o más altos que antes, pero el cultivo presenta "merma en biomasa". Planta raquítica.</t>
  </si>
  <si>
    <t>Baja productividad y rendimientos. Los nutrientes se han concentrado, lo que enmascara una merma productiva real (Efecto Piper-Steenbjerg).</t>
  </si>
  <si>
    <t>Reducción de la fertilización (ej. por alto precio de los fertilizantes) mientras la planta aumenta biomasa.</t>
  </si>
  <si>
    <r>
      <t>Fertilización/Bioestimulación:</t>
    </r>
    <r>
      <rPr>
        <sz val="11"/>
        <color theme="1"/>
        <rFont val="Aptos Narrow"/>
        <family val="2"/>
        <scheme val="minor"/>
      </rPr>
      <t xml:space="preserve"> Aumentar la fertilización (N y K son los más importantes). Aplicar </t>
    </r>
    <r>
      <rPr>
        <b/>
        <sz val="11"/>
        <color theme="1"/>
        <rFont val="Aptos Narrow"/>
        <family val="2"/>
        <scheme val="minor"/>
      </rPr>
      <t>SUMAKCROP Nitrogen Plus 30</t>
    </r>
    <r>
      <rPr>
        <sz val="11"/>
        <color theme="1"/>
        <rFont val="Aptos Narrow"/>
        <family val="2"/>
        <scheme val="minor"/>
      </rPr>
      <t xml:space="preserve"> y </t>
    </r>
    <r>
      <rPr>
        <b/>
        <sz val="11"/>
        <color theme="1"/>
        <rFont val="Aptos Narrow"/>
        <family val="2"/>
        <scheme val="minor"/>
      </rPr>
      <t>SUMAKCROP K-45</t>
    </r>
    <r>
      <rPr>
        <sz val="11"/>
        <color theme="1"/>
        <rFont val="Aptos Narrow"/>
        <family val="2"/>
        <scheme val="minor"/>
      </rPr>
      <t xml:space="preserve">. Usar </t>
    </r>
    <r>
      <rPr>
        <b/>
        <sz val="11"/>
        <color theme="1"/>
        <rFont val="Aptos Narrow"/>
        <family val="2"/>
        <scheme val="minor"/>
      </rPr>
      <t>SUMAKCROP Amino Acid Powder 80%</t>
    </r>
    <r>
      <rPr>
        <sz val="11"/>
        <color theme="1"/>
        <rFont val="Aptos Narrow"/>
        <family val="2"/>
        <scheme val="minor"/>
      </rPr>
      <t xml:space="preserve"> (Bioestimulante) para crecimiento y recuperación.</t>
    </r>
  </si>
  <si>
    <r>
      <t>39. Mancha Foliar por Cordana</t>
    </r>
    <r>
      <rPr>
        <sz val="11"/>
        <color theme="1"/>
        <rFont val="Aptos Narrow"/>
        <family val="2"/>
        <scheme val="minor"/>
      </rPr>
      <t xml:space="preserve"> (</t>
    </r>
    <r>
      <rPr>
        <i/>
        <sz val="11"/>
        <color theme="1"/>
        <rFont val="Aptos Narrow"/>
        <family val="2"/>
        <scheme val="minor"/>
      </rPr>
      <t>Cordana musae</t>
    </r>
    <r>
      <rPr>
        <sz val="11"/>
        <color theme="1"/>
        <rFont val="Aptos Narrow"/>
        <family val="2"/>
        <scheme val="minor"/>
      </rPr>
      <t>)</t>
    </r>
  </si>
  <si>
    <t>Manchas color marrón con halo amarillento brillante a su alrededor. Las manchas tienen forma ovalada o de cuña con anillos concéntricos.</t>
  </si>
  <si>
    <t>Llega a secar grandes porciones de la lámina foliar.</t>
  </si>
  <si>
    <r>
      <t xml:space="preserve">Hongo </t>
    </r>
    <r>
      <rPr>
        <i/>
        <sz val="11"/>
        <color theme="1"/>
        <rFont val="Aptos Narrow"/>
        <family val="2"/>
        <scheme val="minor"/>
      </rPr>
      <t>Cordana musae</t>
    </r>
    <r>
      <rPr>
        <sz val="11"/>
        <color theme="1"/>
        <rFont val="Aptos Narrow"/>
        <family val="2"/>
        <scheme val="minor"/>
      </rPr>
      <t>.</t>
    </r>
  </si>
  <si>
    <r>
      <t>Microbiológicos: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BACIFORM SC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Nutrición Foliar: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Cu Pentahidratado</t>
    </r>
    <r>
      <rPr>
        <sz val="11"/>
        <color theme="1"/>
        <rFont val="Aptos Narrow"/>
        <family val="2"/>
        <scheme val="minor"/>
      </rPr>
      <t xml:space="preserve"> (controla enfermedades causadas por hongos).</t>
    </r>
  </si>
  <si>
    <r>
      <t>40. Punta de Cigarro</t>
    </r>
    <r>
      <rPr>
        <sz val="11"/>
        <color theme="1"/>
        <rFont val="Aptos Narrow"/>
        <family val="2"/>
        <scheme val="minor"/>
      </rPr>
      <t xml:space="preserve"> (</t>
    </r>
    <r>
      <rPr>
        <i/>
        <sz val="11"/>
        <color theme="1"/>
        <rFont val="Aptos Narrow"/>
        <family val="2"/>
        <scheme val="minor"/>
      </rPr>
      <t>Stachylidium sp., Fusarium sp., Deightoniella sp.</t>
    </r>
    <r>
      <rPr>
        <sz val="11"/>
        <color theme="1"/>
        <rFont val="Aptos Narrow"/>
        <family val="2"/>
        <scheme val="minor"/>
      </rPr>
      <t>)</t>
    </r>
  </si>
  <si>
    <t>Pudrición seca o negra de la punta o ápice de la fruta.</t>
  </si>
  <si>
    <t>Los dedos o plátanos infectados tienden a madurar prematuramente.</t>
  </si>
  <si>
    <r>
      <t xml:space="preserve">Hongos </t>
    </r>
    <r>
      <rPr>
        <i/>
        <sz val="11"/>
        <color theme="1"/>
        <rFont val="Aptos Narrow"/>
        <family val="2"/>
        <scheme val="minor"/>
      </rPr>
      <t>Stachylidium sp., Fusarium sp. y Deightoniella sp.</t>
    </r>
    <r>
      <rPr>
        <sz val="11"/>
        <color theme="1"/>
        <rFont val="Aptos Narrow"/>
        <family val="2"/>
        <scheme val="minor"/>
      </rPr>
      <t>.</t>
    </r>
  </si>
  <si>
    <r>
      <t>Nutrición Foliar:</t>
    </r>
    <r>
      <rPr>
        <sz val="11"/>
        <color theme="1"/>
        <rFont val="Aptos Narrow"/>
        <family val="2"/>
        <scheme val="minor"/>
      </rPr>
      <t xml:space="preserve"> Aplicar </t>
    </r>
    <r>
      <rPr>
        <b/>
        <sz val="11"/>
        <color theme="1"/>
        <rFont val="Aptos Narrow"/>
        <family val="2"/>
        <scheme val="minor"/>
      </rPr>
      <t>SUMAKCROP Cu Pentahidratado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Prácticas Agrícolas:</t>
    </r>
    <r>
      <rPr>
        <sz val="11"/>
        <color theme="1"/>
        <rFont val="Aptos Narrow"/>
        <family val="2"/>
        <scheme val="minor"/>
      </rPr>
      <t xml:space="preserve"> Fumigar la punta de los dedos con fungicida (como un benzimidazol) después del desflore.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</si>
</sst>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&quot;$&quot;\-#,##0"/>
  </numFmts>
  <fonts count="8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49" fontId="1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0" applyFont="1"/>
    <xf numFmtId="9" fontId="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6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4C5A3-3AF6-4C66-BF8B-E31DF7366433}">
  <dimension ref="A3:E45"/>
  <sheetViews>
    <sheetView tabSelected="1" workbookViewId="0">
      <selection activeCell="E6" sqref="E6"/>
    </sheetView>
  </sheetViews>
  <sheetFormatPr baseColWidth="10" defaultRowHeight="14.6" x14ac:dyDescent="0.4"/>
  <cols>
    <col min="1" max="1" width="26.53515625" style="30" customWidth="1"/>
    <col min="2" max="5" width="35.53515625" style="30" customWidth="1"/>
  </cols>
  <sheetData>
    <row r="3" spans="1:5" x14ac:dyDescent="0.4">
      <c r="A3" s="30" t="s">
        <v>144</v>
      </c>
    </row>
    <row r="4" spans="1:5" x14ac:dyDescent="0.4">
      <c r="A4" s="37"/>
    </row>
    <row r="5" spans="1:5" s="36" customFormat="1" ht="43.75" x14ac:dyDescent="0.4">
      <c r="A5" s="28" t="s">
        <v>145</v>
      </c>
      <c r="B5" s="28" t="s">
        <v>12</v>
      </c>
      <c r="C5" s="28" t="s">
        <v>11</v>
      </c>
      <c r="D5" s="28" t="s">
        <v>146</v>
      </c>
      <c r="E5" s="28" t="s">
        <v>147</v>
      </c>
    </row>
    <row r="6" spans="1:5" ht="189.45" x14ac:dyDescent="0.4">
      <c r="A6" s="28" t="s">
        <v>148</v>
      </c>
      <c r="B6" s="29" t="s">
        <v>149</v>
      </c>
      <c r="C6" s="29" t="s">
        <v>169</v>
      </c>
      <c r="D6" s="29" t="s">
        <v>170</v>
      </c>
      <c r="E6" s="28" t="s">
        <v>171</v>
      </c>
    </row>
    <row r="7" spans="1:5" ht="160.30000000000001" x14ac:dyDescent="0.4">
      <c r="A7" s="28" t="s">
        <v>150</v>
      </c>
      <c r="B7" s="29" t="s">
        <v>151</v>
      </c>
      <c r="C7" s="29" t="s">
        <v>172</v>
      </c>
      <c r="D7" s="29" t="s">
        <v>152</v>
      </c>
      <c r="E7" s="28" t="s">
        <v>173</v>
      </c>
    </row>
    <row r="8" spans="1:5" ht="189.45" x14ac:dyDescent="0.4">
      <c r="A8" s="28" t="s">
        <v>153</v>
      </c>
      <c r="B8" s="29" t="s">
        <v>174</v>
      </c>
      <c r="C8" s="29" t="s">
        <v>175</v>
      </c>
      <c r="D8" s="29" t="s">
        <v>176</v>
      </c>
      <c r="E8" s="28" t="s">
        <v>177</v>
      </c>
    </row>
    <row r="9" spans="1:5" ht="102" x14ac:dyDescent="0.4">
      <c r="A9" s="28" t="s">
        <v>154</v>
      </c>
      <c r="B9" s="28" t="s">
        <v>178</v>
      </c>
      <c r="C9" s="29" t="s">
        <v>179</v>
      </c>
      <c r="D9" s="29" t="s">
        <v>180</v>
      </c>
      <c r="E9" s="28" t="s">
        <v>181</v>
      </c>
    </row>
    <row r="10" spans="1:5" ht="116.6" x14ac:dyDescent="0.4">
      <c r="A10" s="28" t="s">
        <v>155</v>
      </c>
      <c r="B10" s="29" t="s">
        <v>156</v>
      </c>
      <c r="C10" s="29" t="s">
        <v>182</v>
      </c>
      <c r="D10" s="29" t="s">
        <v>183</v>
      </c>
      <c r="E10" s="28" t="s">
        <v>184</v>
      </c>
    </row>
    <row r="11" spans="1:5" ht="102" x14ac:dyDescent="0.4">
      <c r="A11" s="28" t="s">
        <v>185</v>
      </c>
      <c r="B11" s="29" t="s">
        <v>186</v>
      </c>
      <c r="C11" s="29" t="s">
        <v>187</v>
      </c>
      <c r="D11" s="29" t="s">
        <v>188</v>
      </c>
      <c r="E11" s="28" t="s">
        <v>189</v>
      </c>
    </row>
    <row r="12" spans="1:5" ht="87.45" x14ac:dyDescent="0.4">
      <c r="A12" s="28" t="s">
        <v>190</v>
      </c>
      <c r="B12" s="29" t="s">
        <v>191</v>
      </c>
      <c r="C12" s="29" t="s">
        <v>192</v>
      </c>
      <c r="D12" s="29" t="s">
        <v>157</v>
      </c>
      <c r="E12" s="28" t="s">
        <v>193</v>
      </c>
    </row>
    <row r="13" spans="1:5" ht="116.6" x14ac:dyDescent="0.4">
      <c r="A13" s="28" t="s">
        <v>194</v>
      </c>
      <c r="B13" s="29" t="s">
        <v>195</v>
      </c>
      <c r="C13" s="29" t="s">
        <v>158</v>
      </c>
      <c r="D13" s="29" t="s">
        <v>159</v>
      </c>
      <c r="E13" s="28" t="s">
        <v>196</v>
      </c>
    </row>
    <row r="14" spans="1:5" ht="102" x14ac:dyDescent="0.4">
      <c r="A14" s="28" t="s">
        <v>197</v>
      </c>
      <c r="B14" s="29" t="s">
        <v>198</v>
      </c>
      <c r="C14" s="29" t="s">
        <v>199</v>
      </c>
      <c r="D14" s="29" t="s">
        <v>200</v>
      </c>
      <c r="E14" s="28" t="s">
        <v>201</v>
      </c>
    </row>
    <row r="15" spans="1:5" ht="145.75" x14ac:dyDescent="0.4">
      <c r="A15" s="28" t="s">
        <v>202</v>
      </c>
      <c r="B15" s="29" t="s">
        <v>203</v>
      </c>
      <c r="C15" s="29" t="s">
        <v>160</v>
      </c>
      <c r="D15" s="29" t="s">
        <v>161</v>
      </c>
      <c r="E15" s="28" t="s">
        <v>204</v>
      </c>
    </row>
    <row r="16" spans="1:5" ht="87.45" x14ac:dyDescent="0.4">
      <c r="A16" s="28" t="s">
        <v>205</v>
      </c>
      <c r="B16" s="29" t="s">
        <v>206</v>
      </c>
      <c r="C16" s="29" t="s">
        <v>207</v>
      </c>
      <c r="D16" s="29" t="s">
        <v>208</v>
      </c>
      <c r="E16" s="28" t="s">
        <v>209</v>
      </c>
    </row>
    <row r="17" spans="1:5" ht="87.45" x14ac:dyDescent="0.4">
      <c r="A17" s="28" t="s">
        <v>210</v>
      </c>
      <c r="B17" s="29" t="s">
        <v>211</v>
      </c>
      <c r="C17" s="29" t="s">
        <v>212</v>
      </c>
      <c r="D17" s="29" t="s">
        <v>213</v>
      </c>
      <c r="E17" s="28" t="s">
        <v>214</v>
      </c>
    </row>
    <row r="18" spans="1:5" ht="131.15" x14ac:dyDescent="0.4">
      <c r="A18" s="28" t="s">
        <v>215</v>
      </c>
      <c r="B18" s="29" t="s">
        <v>162</v>
      </c>
      <c r="C18" s="29" t="s">
        <v>216</v>
      </c>
      <c r="D18" s="29" t="s">
        <v>217</v>
      </c>
      <c r="E18" s="28" t="s">
        <v>218</v>
      </c>
    </row>
    <row r="19" spans="1:5" ht="131.15" x14ac:dyDescent="0.4">
      <c r="A19" s="28" t="s">
        <v>219</v>
      </c>
      <c r="B19" s="29" t="s">
        <v>220</v>
      </c>
      <c r="C19" s="29" t="s">
        <v>221</v>
      </c>
      <c r="D19" s="29" t="s">
        <v>222</v>
      </c>
      <c r="E19" s="28" t="s">
        <v>223</v>
      </c>
    </row>
    <row r="20" spans="1:5" ht="116.6" x14ac:dyDescent="0.4">
      <c r="A20" s="28" t="s">
        <v>224</v>
      </c>
      <c r="B20" s="29" t="s">
        <v>225</v>
      </c>
      <c r="C20" s="29" t="s">
        <v>226</v>
      </c>
      <c r="D20" s="29" t="s">
        <v>227</v>
      </c>
      <c r="E20" s="28" t="s">
        <v>228</v>
      </c>
    </row>
    <row r="21" spans="1:5" ht="102" x14ac:dyDescent="0.4">
      <c r="A21" s="28" t="s">
        <v>229</v>
      </c>
      <c r="B21" s="29" t="s">
        <v>230</v>
      </c>
      <c r="C21" s="29" t="s">
        <v>231</v>
      </c>
      <c r="D21" s="29" t="s">
        <v>232</v>
      </c>
      <c r="E21" s="28" t="s">
        <v>233</v>
      </c>
    </row>
    <row r="22" spans="1:5" ht="131.15" x14ac:dyDescent="0.4">
      <c r="A22" s="28" t="s">
        <v>234</v>
      </c>
      <c r="B22" s="29" t="s">
        <v>235</v>
      </c>
      <c r="C22" s="29" t="s">
        <v>163</v>
      </c>
      <c r="D22" s="29" t="s">
        <v>236</v>
      </c>
      <c r="E22" s="28" t="s">
        <v>237</v>
      </c>
    </row>
    <row r="23" spans="1:5" ht="116.6" x14ac:dyDescent="0.4">
      <c r="A23" s="28" t="s">
        <v>238</v>
      </c>
      <c r="B23" s="29" t="s">
        <v>239</v>
      </c>
      <c r="C23" s="29" t="s">
        <v>240</v>
      </c>
      <c r="D23" s="29" t="s">
        <v>241</v>
      </c>
      <c r="E23" s="28" t="s">
        <v>242</v>
      </c>
    </row>
    <row r="24" spans="1:5" ht="131.15" x14ac:dyDescent="0.4">
      <c r="A24" s="28" t="s">
        <v>243</v>
      </c>
      <c r="B24" s="29" t="s">
        <v>244</v>
      </c>
      <c r="C24" s="29" t="s">
        <v>245</v>
      </c>
      <c r="D24" s="29" t="s">
        <v>246</v>
      </c>
      <c r="E24" s="28" t="s">
        <v>247</v>
      </c>
    </row>
    <row r="25" spans="1:5" ht="116.6" x14ac:dyDescent="0.4">
      <c r="A25" s="28" t="s">
        <v>248</v>
      </c>
      <c r="B25" s="29" t="s">
        <v>249</v>
      </c>
      <c r="C25" s="29" t="s">
        <v>250</v>
      </c>
      <c r="D25" s="29" t="s">
        <v>251</v>
      </c>
      <c r="E25" s="28" t="s">
        <v>252</v>
      </c>
    </row>
    <row r="26" spans="1:5" ht="102" x14ac:dyDescent="0.4">
      <c r="A26" s="28" t="s">
        <v>253</v>
      </c>
      <c r="B26" s="29" t="s">
        <v>254</v>
      </c>
      <c r="C26" s="29" t="s">
        <v>255</v>
      </c>
      <c r="D26" s="29" t="s">
        <v>256</v>
      </c>
      <c r="E26" s="28" t="s">
        <v>257</v>
      </c>
    </row>
    <row r="27" spans="1:5" ht="145.75" x14ac:dyDescent="0.4">
      <c r="A27" s="28" t="s">
        <v>258</v>
      </c>
      <c r="B27" s="29" t="s">
        <v>259</v>
      </c>
      <c r="C27" s="29" t="s">
        <v>260</v>
      </c>
      <c r="D27" s="29" t="s">
        <v>261</v>
      </c>
      <c r="E27" s="28" t="s">
        <v>262</v>
      </c>
    </row>
    <row r="28" spans="1:5" ht="116.6" x14ac:dyDescent="0.4">
      <c r="A28" s="28" t="s">
        <v>263</v>
      </c>
      <c r="B28" s="29" t="s">
        <v>164</v>
      </c>
      <c r="C28" s="29" t="s">
        <v>264</v>
      </c>
      <c r="D28" s="29" t="s">
        <v>265</v>
      </c>
      <c r="E28" s="28" t="s">
        <v>266</v>
      </c>
    </row>
    <row r="29" spans="1:5" ht="102" x14ac:dyDescent="0.4">
      <c r="A29" s="28" t="s">
        <v>267</v>
      </c>
      <c r="B29" s="29" t="s">
        <v>268</v>
      </c>
      <c r="C29" s="29" t="s">
        <v>269</v>
      </c>
      <c r="D29" s="29" t="s">
        <v>270</v>
      </c>
      <c r="E29" s="28" t="s">
        <v>271</v>
      </c>
    </row>
    <row r="30" spans="1:5" ht="102" x14ac:dyDescent="0.4">
      <c r="A30" s="28" t="s">
        <v>272</v>
      </c>
      <c r="B30" s="29" t="s">
        <v>273</v>
      </c>
      <c r="C30" s="29" t="s">
        <v>274</v>
      </c>
      <c r="D30" s="29" t="s">
        <v>275</v>
      </c>
      <c r="E30" s="28" t="s">
        <v>276</v>
      </c>
    </row>
    <row r="31" spans="1:5" ht="87.45" x14ac:dyDescent="0.4">
      <c r="A31" s="28" t="s">
        <v>277</v>
      </c>
      <c r="B31" s="29" t="s">
        <v>278</v>
      </c>
      <c r="C31" s="29" t="s">
        <v>279</v>
      </c>
      <c r="D31" s="29" t="s">
        <v>280</v>
      </c>
      <c r="E31" s="28" t="s">
        <v>281</v>
      </c>
    </row>
    <row r="32" spans="1:5" ht="145.75" x14ac:dyDescent="0.4">
      <c r="A32" s="28" t="s">
        <v>282</v>
      </c>
      <c r="B32" s="29" t="s">
        <v>283</v>
      </c>
      <c r="C32" s="29" t="s">
        <v>284</v>
      </c>
      <c r="D32" s="29" t="s">
        <v>165</v>
      </c>
      <c r="E32" s="28" t="s">
        <v>285</v>
      </c>
    </row>
    <row r="33" spans="1:5" ht="102" x14ac:dyDescent="0.4">
      <c r="A33" s="28" t="s">
        <v>286</v>
      </c>
      <c r="B33" s="29" t="s">
        <v>287</v>
      </c>
      <c r="C33" s="29" t="s">
        <v>288</v>
      </c>
      <c r="D33" s="29" t="s">
        <v>289</v>
      </c>
      <c r="E33" s="28" t="s">
        <v>290</v>
      </c>
    </row>
    <row r="34" spans="1:5" ht="87.45" x14ac:dyDescent="0.4">
      <c r="A34" s="28" t="s">
        <v>291</v>
      </c>
      <c r="B34" s="29" t="s">
        <v>292</v>
      </c>
      <c r="C34" s="29" t="s">
        <v>166</v>
      </c>
      <c r="D34" s="29" t="s">
        <v>293</v>
      </c>
      <c r="E34" s="28" t="s">
        <v>290</v>
      </c>
    </row>
    <row r="35" spans="1:5" ht="72.900000000000006" x14ac:dyDescent="0.4">
      <c r="A35" s="28" t="s">
        <v>294</v>
      </c>
      <c r="B35" s="29" t="s">
        <v>295</v>
      </c>
      <c r="C35" s="29" t="s">
        <v>296</v>
      </c>
      <c r="D35" s="29" t="s">
        <v>297</v>
      </c>
      <c r="E35" s="28" t="s">
        <v>290</v>
      </c>
    </row>
    <row r="36" spans="1:5" ht="72.900000000000006" x14ac:dyDescent="0.4">
      <c r="A36" s="28" t="s">
        <v>298</v>
      </c>
      <c r="B36" s="29" t="s">
        <v>299</v>
      </c>
      <c r="C36" s="29" t="s">
        <v>300</v>
      </c>
      <c r="D36" s="29" t="s">
        <v>301</v>
      </c>
      <c r="E36" s="28" t="s">
        <v>302</v>
      </c>
    </row>
    <row r="37" spans="1:5" ht="87.45" x14ac:dyDescent="0.4">
      <c r="A37" s="28" t="s">
        <v>303</v>
      </c>
      <c r="B37" s="29" t="s">
        <v>304</v>
      </c>
      <c r="C37" s="29" t="s">
        <v>167</v>
      </c>
      <c r="D37" s="29" t="s">
        <v>168</v>
      </c>
      <c r="E37" s="28" t="s">
        <v>305</v>
      </c>
    </row>
    <row r="38" spans="1:5" ht="131.15" x14ac:dyDescent="0.4">
      <c r="A38" s="28" t="s">
        <v>306</v>
      </c>
      <c r="B38" s="29" t="s">
        <v>307</v>
      </c>
      <c r="C38" s="29" t="s">
        <v>308</v>
      </c>
      <c r="D38" s="29" t="s">
        <v>309</v>
      </c>
      <c r="E38" s="28" t="s">
        <v>310</v>
      </c>
    </row>
    <row r="39" spans="1:5" ht="58.3" x14ac:dyDescent="0.4">
      <c r="A39" s="28" t="s">
        <v>311</v>
      </c>
      <c r="B39" s="29" t="s">
        <v>312</v>
      </c>
      <c r="C39" s="29" t="s">
        <v>313</v>
      </c>
      <c r="D39" s="29" t="s">
        <v>314</v>
      </c>
      <c r="E39" s="28" t="s">
        <v>315</v>
      </c>
    </row>
    <row r="40" spans="1:5" ht="72.900000000000006" x14ac:dyDescent="0.4">
      <c r="A40" s="28" t="s">
        <v>316</v>
      </c>
      <c r="B40" s="29" t="s">
        <v>317</v>
      </c>
      <c r="C40" s="29" t="s">
        <v>318</v>
      </c>
      <c r="D40" s="29" t="s">
        <v>319</v>
      </c>
      <c r="E40" s="28" t="s">
        <v>320</v>
      </c>
    </row>
    <row r="41" spans="1:5" ht="87.45" x14ac:dyDescent="0.4">
      <c r="A41" s="28" t="s">
        <v>321</v>
      </c>
      <c r="B41" s="29" t="s">
        <v>322</v>
      </c>
      <c r="C41" s="29" t="s">
        <v>323</v>
      </c>
      <c r="D41" s="29" t="s">
        <v>324</v>
      </c>
      <c r="E41" s="28" t="s">
        <v>325</v>
      </c>
    </row>
    <row r="42" spans="1:5" ht="72.900000000000006" x14ac:dyDescent="0.4">
      <c r="A42" s="28" t="s">
        <v>326</v>
      </c>
      <c r="B42" s="29" t="s">
        <v>327</v>
      </c>
      <c r="C42" s="29" t="s">
        <v>328</v>
      </c>
      <c r="D42" s="29" t="s">
        <v>329</v>
      </c>
      <c r="E42" s="28" t="s">
        <v>330</v>
      </c>
    </row>
    <row r="43" spans="1:5" ht="131.15" x14ac:dyDescent="0.4">
      <c r="A43" s="28" t="s">
        <v>331</v>
      </c>
      <c r="B43" s="29" t="s">
        <v>332</v>
      </c>
      <c r="C43" s="29" t="s">
        <v>333</v>
      </c>
      <c r="D43" s="29" t="s">
        <v>334</v>
      </c>
      <c r="E43" s="28" t="s">
        <v>335</v>
      </c>
    </row>
    <row r="44" spans="1:5" ht="72.900000000000006" x14ac:dyDescent="0.4">
      <c r="A44" s="28" t="s">
        <v>336</v>
      </c>
      <c r="B44" s="29" t="s">
        <v>337</v>
      </c>
      <c r="C44" s="29" t="s">
        <v>338</v>
      </c>
      <c r="D44" s="29" t="s">
        <v>339</v>
      </c>
      <c r="E44" s="28" t="s">
        <v>340</v>
      </c>
    </row>
    <row r="45" spans="1:5" ht="72.900000000000006" x14ac:dyDescent="0.4">
      <c r="A45" s="28" t="s">
        <v>341</v>
      </c>
      <c r="B45" s="29" t="s">
        <v>342</v>
      </c>
      <c r="C45" s="29" t="s">
        <v>343</v>
      </c>
      <c r="D45" s="29" t="s">
        <v>344</v>
      </c>
      <c r="E45" s="28" t="s">
        <v>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2BE0-0AF1-4B92-AF79-2A70E483AA00}">
  <sheetPr>
    <pageSetUpPr fitToPage="1"/>
  </sheetPr>
  <dimension ref="A2:H54"/>
  <sheetViews>
    <sheetView topLeftCell="D7" zoomScale="85" zoomScaleNormal="85" workbookViewId="0">
      <selection activeCell="F4" sqref="F4"/>
    </sheetView>
  </sheetViews>
  <sheetFormatPr baseColWidth="10" defaultColWidth="11.23046875" defaultRowHeight="11.6" x14ac:dyDescent="0.3"/>
  <cols>
    <col min="1" max="1" width="8.3828125" style="4" customWidth="1"/>
    <col min="2" max="2" width="37.53515625" style="4" customWidth="1"/>
    <col min="3" max="3" width="24.61328125" style="4" bestFit="1" customWidth="1"/>
    <col min="4" max="4" width="32.23046875" style="4" customWidth="1"/>
    <col min="5" max="5" width="28.69140625" style="4" customWidth="1"/>
    <col min="6" max="6" width="43.07421875" style="4" bestFit="1" customWidth="1"/>
    <col min="7" max="7" width="18.921875" style="2" customWidth="1"/>
    <col min="8" max="8" width="22.4609375" style="14" customWidth="1"/>
    <col min="9" max="16384" width="11.23046875" style="4"/>
  </cols>
  <sheetData>
    <row r="2" spans="1:8" ht="29.25" customHeight="1" x14ac:dyDescent="0.35">
      <c r="A2" s="35" t="s">
        <v>106</v>
      </c>
      <c r="B2" s="35"/>
      <c r="C2" s="35"/>
      <c r="D2" s="35"/>
      <c r="E2" s="35"/>
      <c r="F2" s="35"/>
      <c r="G2" s="35"/>
      <c r="H2" s="35"/>
    </row>
    <row r="3" spans="1:8" s="1" customFormat="1" ht="59.15" customHeight="1" x14ac:dyDescent="0.4">
      <c r="A3" s="34" t="s">
        <v>108</v>
      </c>
      <c r="B3" s="34"/>
      <c r="C3" s="34"/>
      <c r="D3" s="34"/>
      <c r="E3" s="34"/>
      <c r="F3" s="34"/>
      <c r="G3" s="34"/>
      <c r="H3" s="34"/>
    </row>
    <row r="4" spans="1:8" ht="47.6" customHeight="1" x14ac:dyDescent="0.3">
      <c r="A4" s="3" t="s">
        <v>0</v>
      </c>
      <c r="B4" s="3" t="s">
        <v>2</v>
      </c>
      <c r="C4" s="3" t="s">
        <v>12</v>
      </c>
      <c r="D4" s="3" t="s">
        <v>11</v>
      </c>
      <c r="E4" s="3" t="s">
        <v>3</v>
      </c>
      <c r="F4" s="3" t="s">
        <v>4</v>
      </c>
      <c r="G4" s="3" t="s">
        <v>58</v>
      </c>
      <c r="H4" s="12" t="s">
        <v>65</v>
      </c>
    </row>
    <row r="5" spans="1:8" ht="47.6" customHeight="1" x14ac:dyDescent="0.3">
      <c r="A5" s="5" t="s">
        <v>1</v>
      </c>
      <c r="B5" s="6" t="s">
        <v>13</v>
      </c>
      <c r="C5" s="6" t="s">
        <v>15</v>
      </c>
      <c r="D5" s="6" t="s">
        <v>38</v>
      </c>
      <c r="E5" s="6" t="s">
        <v>10</v>
      </c>
      <c r="F5" s="6" t="s">
        <v>53</v>
      </c>
      <c r="G5" s="7">
        <v>2</v>
      </c>
      <c r="H5" s="13" t="s">
        <v>55</v>
      </c>
    </row>
    <row r="6" spans="1:8" ht="54.65" customHeight="1" x14ac:dyDescent="0.3">
      <c r="A6" s="5" t="s">
        <v>1</v>
      </c>
      <c r="B6" s="6" t="s">
        <v>14</v>
      </c>
      <c r="C6" s="6" t="s">
        <v>5</v>
      </c>
      <c r="D6" s="6" t="s">
        <v>40</v>
      </c>
      <c r="E6" s="6" t="s">
        <v>22</v>
      </c>
      <c r="F6" s="6" t="s">
        <v>23</v>
      </c>
      <c r="G6" s="7">
        <v>4</v>
      </c>
      <c r="H6" s="13" t="s">
        <v>55</v>
      </c>
    </row>
    <row r="7" spans="1:8" ht="54.65" customHeight="1" x14ac:dyDescent="0.3">
      <c r="A7" s="5" t="s">
        <v>1</v>
      </c>
      <c r="B7" s="6" t="s">
        <v>6</v>
      </c>
      <c r="C7" s="6" t="s">
        <v>16</v>
      </c>
      <c r="D7" s="6" t="s">
        <v>46</v>
      </c>
      <c r="E7" s="6" t="s">
        <v>7</v>
      </c>
      <c r="F7" s="6" t="s">
        <v>41</v>
      </c>
      <c r="G7" s="7">
        <v>2</v>
      </c>
      <c r="H7" s="13" t="s">
        <v>55</v>
      </c>
    </row>
    <row r="8" spans="1:8" ht="47.6" customHeight="1" x14ac:dyDescent="0.3">
      <c r="A8" s="5" t="s">
        <v>1</v>
      </c>
      <c r="B8" s="6" t="s">
        <v>8</v>
      </c>
      <c r="C8" s="6" t="s">
        <v>17</v>
      </c>
      <c r="D8" s="6" t="s">
        <v>47</v>
      </c>
      <c r="E8" s="6" t="s">
        <v>43</v>
      </c>
      <c r="F8" s="6" t="s">
        <v>9</v>
      </c>
      <c r="G8" s="7">
        <v>2</v>
      </c>
      <c r="H8" s="13" t="s">
        <v>55</v>
      </c>
    </row>
    <row r="9" spans="1:8" ht="47.6" customHeight="1" x14ac:dyDescent="0.3">
      <c r="A9" s="5" t="s">
        <v>1</v>
      </c>
      <c r="B9" s="6" t="s">
        <v>26</v>
      </c>
      <c r="C9" s="6" t="s">
        <v>24</v>
      </c>
      <c r="D9" s="6" t="s">
        <v>28</v>
      </c>
      <c r="E9" s="6" t="s">
        <v>25</v>
      </c>
      <c r="F9" s="6" t="s">
        <v>48</v>
      </c>
      <c r="G9" s="7">
        <v>2</v>
      </c>
      <c r="H9" s="13" t="s">
        <v>55</v>
      </c>
    </row>
    <row r="10" spans="1:8" ht="54" customHeight="1" x14ac:dyDescent="0.3">
      <c r="A10" s="5" t="s">
        <v>1</v>
      </c>
      <c r="B10" s="6" t="s">
        <v>44</v>
      </c>
      <c r="C10" s="6" t="s">
        <v>27</v>
      </c>
      <c r="D10" s="6" t="s">
        <v>39</v>
      </c>
      <c r="E10" s="6" t="s">
        <v>29</v>
      </c>
      <c r="F10" s="6" t="s">
        <v>49</v>
      </c>
      <c r="G10" s="7">
        <v>3</v>
      </c>
      <c r="H10" s="13" t="s">
        <v>55</v>
      </c>
    </row>
    <row r="11" spans="1:8" ht="85.2" customHeight="1" x14ac:dyDescent="0.3">
      <c r="A11" s="5" t="s">
        <v>1</v>
      </c>
      <c r="B11" s="6" t="s">
        <v>21</v>
      </c>
      <c r="C11" s="6" t="s">
        <v>30</v>
      </c>
      <c r="D11" s="6" t="s">
        <v>31</v>
      </c>
      <c r="E11" s="6" t="s">
        <v>45</v>
      </c>
      <c r="F11" s="6" t="s">
        <v>50</v>
      </c>
      <c r="G11" s="7">
        <v>2</v>
      </c>
      <c r="H11" s="13" t="s">
        <v>55</v>
      </c>
    </row>
    <row r="12" spans="1:8" ht="69" customHeight="1" x14ac:dyDescent="0.3">
      <c r="A12" s="5" t="s">
        <v>1</v>
      </c>
      <c r="B12" s="6" t="s">
        <v>18</v>
      </c>
      <c r="C12" s="6" t="s">
        <v>32</v>
      </c>
      <c r="D12" s="6" t="s">
        <v>33</v>
      </c>
      <c r="E12" s="6" t="s">
        <v>20</v>
      </c>
      <c r="F12" s="6" t="s">
        <v>51</v>
      </c>
      <c r="G12" s="7">
        <v>8</v>
      </c>
      <c r="H12" s="13" t="s">
        <v>54</v>
      </c>
    </row>
    <row r="13" spans="1:8" ht="55.85" customHeight="1" x14ac:dyDescent="0.3">
      <c r="A13" s="5" t="s">
        <v>1</v>
      </c>
      <c r="B13" s="8" t="s">
        <v>19</v>
      </c>
      <c r="C13" s="6" t="s">
        <v>34</v>
      </c>
      <c r="D13" s="6" t="s">
        <v>35</v>
      </c>
      <c r="E13" s="6" t="s">
        <v>36</v>
      </c>
      <c r="F13" s="8" t="s">
        <v>42</v>
      </c>
      <c r="G13" s="7">
        <v>2</v>
      </c>
      <c r="H13" s="13" t="s">
        <v>55</v>
      </c>
    </row>
    <row r="14" spans="1:8" ht="47.6" customHeight="1" x14ac:dyDescent="0.3">
      <c r="A14" s="5" t="s">
        <v>1</v>
      </c>
      <c r="B14" s="8" t="s">
        <v>56</v>
      </c>
      <c r="C14" s="6" t="s">
        <v>37</v>
      </c>
      <c r="D14" s="6" t="s">
        <v>52</v>
      </c>
      <c r="E14" s="8" t="s">
        <v>57</v>
      </c>
      <c r="F14" s="8" t="s">
        <v>42</v>
      </c>
      <c r="G14" s="7">
        <v>3</v>
      </c>
      <c r="H14" s="13" t="s">
        <v>55</v>
      </c>
    </row>
    <row r="16" spans="1:8" x14ac:dyDescent="0.3">
      <c r="A16" s="4" t="s">
        <v>64</v>
      </c>
    </row>
    <row r="20" spans="2:8" x14ac:dyDescent="0.3">
      <c r="B20" s="9" t="s">
        <v>59</v>
      </c>
      <c r="C20" s="9">
        <f>+AVERAGE(G5:G14)</f>
        <v>3</v>
      </c>
    </row>
    <row r="21" spans="2:8" ht="23.15" x14ac:dyDescent="0.3">
      <c r="B21" s="15" t="s">
        <v>66</v>
      </c>
      <c r="C21" s="10">
        <v>500</v>
      </c>
    </row>
    <row r="22" spans="2:8" x14ac:dyDescent="0.3">
      <c r="B22" s="15" t="s">
        <v>63</v>
      </c>
      <c r="C22" s="10">
        <v>250</v>
      </c>
    </row>
    <row r="23" spans="2:8" x14ac:dyDescent="0.3">
      <c r="B23" s="15"/>
      <c r="C23" s="8"/>
    </row>
    <row r="27" spans="2:8" ht="17.149999999999999" x14ac:dyDescent="0.35">
      <c r="B27" s="19" t="s">
        <v>67</v>
      </c>
      <c r="C27" s="20"/>
    </row>
    <row r="28" spans="2:8" ht="14.15" x14ac:dyDescent="0.35">
      <c r="B28" s="20"/>
      <c r="C28" s="20"/>
    </row>
    <row r="29" spans="2:8" s="17" customFormat="1" ht="14.15" x14ac:dyDescent="0.3">
      <c r="B29" s="21" t="s">
        <v>68</v>
      </c>
      <c r="C29" s="21" t="s">
        <v>69</v>
      </c>
      <c r="G29" s="16"/>
      <c r="H29" s="18"/>
    </row>
    <row r="30" spans="2:8" ht="14.15" x14ac:dyDescent="0.3">
      <c r="B30" s="22" t="s">
        <v>70</v>
      </c>
      <c r="C30" s="22" t="s">
        <v>54</v>
      </c>
    </row>
    <row r="31" spans="2:8" ht="14.15" x14ac:dyDescent="0.3">
      <c r="B31" s="22" t="s">
        <v>71</v>
      </c>
      <c r="C31" s="22" t="s">
        <v>72</v>
      </c>
    </row>
    <row r="32" spans="2:8" ht="14.15" x14ac:dyDescent="0.3">
      <c r="B32" s="22" t="s">
        <v>73</v>
      </c>
      <c r="C32" s="22" t="s">
        <v>74</v>
      </c>
    </row>
    <row r="33" spans="2:8" ht="14.15" x14ac:dyDescent="0.3">
      <c r="B33" s="22" t="s">
        <v>75</v>
      </c>
      <c r="C33" s="22" t="s">
        <v>76</v>
      </c>
    </row>
    <row r="34" spans="2:8" ht="28.3" x14ac:dyDescent="0.3">
      <c r="B34" s="22" t="s">
        <v>77</v>
      </c>
      <c r="C34" s="22" t="s">
        <v>78</v>
      </c>
    </row>
    <row r="36" spans="2:8" ht="17.149999999999999" x14ac:dyDescent="0.35">
      <c r="B36" s="23" t="s">
        <v>79</v>
      </c>
      <c r="C36" s="24"/>
      <c r="D36" s="24"/>
      <c r="E36" s="24"/>
    </row>
    <row r="37" spans="2:8" ht="14.15" x14ac:dyDescent="0.35">
      <c r="B37" s="24"/>
      <c r="C37" s="24"/>
      <c r="D37" s="24"/>
      <c r="E37" s="24"/>
    </row>
    <row r="38" spans="2:8" s="17" customFormat="1" ht="14.15" x14ac:dyDescent="0.3">
      <c r="B38" s="21" t="s">
        <v>80</v>
      </c>
      <c r="C38" s="21" t="s">
        <v>81</v>
      </c>
      <c r="D38" s="21" t="s">
        <v>82</v>
      </c>
      <c r="E38" s="21" t="s">
        <v>83</v>
      </c>
      <c r="G38" s="16"/>
      <c r="H38" s="18"/>
    </row>
    <row r="39" spans="2:8" ht="14.15" x14ac:dyDescent="0.3">
      <c r="B39" s="22" t="s">
        <v>84</v>
      </c>
      <c r="C39" s="21">
        <v>500</v>
      </c>
      <c r="D39" s="21">
        <v>100</v>
      </c>
      <c r="E39" s="22" t="s">
        <v>85</v>
      </c>
    </row>
    <row r="40" spans="2:8" ht="14.15" x14ac:dyDescent="0.3">
      <c r="B40" s="22" t="s">
        <v>86</v>
      </c>
      <c r="C40" s="21">
        <v>250</v>
      </c>
      <c r="D40" s="21">
        <v>50</v>
      </c>
      <c r="E40" s="22" t="s">
        <v>87</v>
      </c>
    </row>
    <row r="41" spans="2:8" ht="14.15" x14ac:dyDescent="0.3">
      <c r="B41" s="22" t="s">
        <v>88</v>
      </c>
      <c r="C41" s="25">
        <v>0.5</v>
      </c>
      <c r="D41" s="25">
        <v>0.5</v>
      </c>
      <c r="E41" s="22" t="s">
        <v>89</v>
      </c>
    </row>
    <row r="42" spans="2:8" ht="14.15" x14ac:dyDescent="0.3">
      <c r="B42" s="22" t="s">
        <v>90</v>
      </c>
      <c r="C42" s="21">
        <v>250</v>
      </c>
      <c r="D42" s="21">
        <v>50</v>
      </c>
      <c r="E42" s="22" t="s">
        <v>91</v>
      </c>
    </row>
    <row r="43" spans="2:8" ht="14.15" x14ac:dyDescent="0.3">
      <c r="B43" s="22" t="s">
        <v>92</v>
      </c>
      <c r="C43" s="21" t="s">
        <v>93</v>
      </c>
      <c r="D43" s="21" t="s">
        <v>94</v>
      </c>
      <c r="E43" s="22" t="s">
        <v>95</v>
      </c>
    </row>
    <row r="44" spans="2:8" ht="14.15" x14ac:dyDescent="0.3">
      <c r="B44" s="22" t="s">
        <v>96</v>
      </c>
      <c r="C44" s="21" t="s">
        <v>97</v>
      </c>
      <c r="D44" s="21" t="s">
        <v>98</v>
      </c>
      <c r="E44" s="22" t="s">
        <v>99</v>
      </c>
    </row>
    <row r="45" spans="2:8" ht="14.15" x14ac:dyDescent="0.3">
      <c r="B45" s="22" t="s">
        <v>100</v>
      </c>
      <c r="C45" s="21" t="s">
        <v>97</v>
      </c>
      <c r="D45" s="21" t="s">
        <v>98</v>
      </c>
      <c r="E45" s="22" t="s">
        <v>101</v>
      </c>
    </row>
    <row r="46" spans="2:8" ht="14.15" x14ac:dyDescent="0.3">
      <c r="B46" s="22" t="s">
        <v>102</v>
      </c>
      <c r="C46" s="21" t="s">
        <v>103</v>
      </c>
      <c r="D46" s="22" t="s">
        <v>104</v>
      </c>
      <c r="E46" s="22" t="s">
        <v>105</v>
      </c>
    </row>
    <row r="50" spans="2:5" ht="54.9" customHeight="1" x14ac:dyDescent="0.3">
      <c r="B50" s="33" t="s">
        <v>107</v>
      </c>
      <c r="C50" s="33"/>
      <c r="D50" s="33"/>
      <c r="E50" s="33"/>
    </row>
    <row r="52" spans="2:5" x14ac:dyDescent="0.3">
      <c r="B52" s="4" t="s">
        <v>60</v>
      </c>
    </row>
    <row r="53" spans="2:5" x14ac:dyDescent="0.3">
      <c r="B53" s="11" t="s">
        <v>61</v>
      </c>
    </row>
    <row r="54" spans="2:5" x14ac:dyDescent="0.3">
      <c r="B54" s="4" t="s">
        <v>62</v>
      </c>
    </row>
  </sheetData>
  <mergeCells count="3">
    <mergeCell ref="B50:E50"/>
    <mergeCell ref="A3:H3"/>
    <mergeCell ref="A2:H2"/>
  </mergeCells>
  <pageMargins left="0.70866141732283472" right="0.70866141732283472" top="0.74803149606299213" bottom="0.74803149606299213" header="0.31496062992125984" footer="0.31496062992125984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54BBC-6916-4D9D-9B2F-FF0D57867EE0}">
  <dimension ref="A2:D13"/>
  <sheetViews>
    <sheetView workbookViewId="0">
      <selection activeCell="A2" sqref="A2"/>
    </sheetView>
  </sheetViews>
  <sheetFormatPr baseColWidth="10" defaultRowHeight="14.6" x14ac:dyDescent="0.4"/>
  <cols>
    <col min="1" max="1" width="11.3046875" style="30" customWidth="1"/>
    <col min="2" max="4" width="17.23046875" style="30" customWidth="1"/>
  </cols>
  <sheetData>
    <row r="2" spans="1:4" ht="29.15" x14ac:dyDescent="0.4">
      <c r="A2" s="27" t="s">
        <v>109</v>
      </c>
      <c r="B2" s="27" t="s">
        <v>110</v>
      </c>
      <c r="C2" s="27" t="s">
        <v>111</v>
      </c>
      <c r="D2" s="27" t="s">
        <v>112</v>
      </c>
    </row>
    <row r="3" spans="1:4" ht="43.75" x14ac:dyDescent="0.4">
      <c r="A3" s="26" t="s">
        <v>113</v>
      </c>
      <c r="B3" s="26" t="s">
        <v>114</v>
      </c>
      <c r="C3" s="26" t="s">
        <v>115</v>
      </c>
      <c r="D3" s="26" t="s">
        <v>116</v>
      </c>
    </row>
    <row r="4" spans="1:4" ht="43.75" x14ac:dyDescent="0.4">
      <c r="A4" s="26" t="s">
        <v>117</v>
      </c>
      <c r="B4" s="26" t="s">
        <v>118</v>
      </c>
      <c r="C4" s="26" t="s">
        <v>119</v>
      </c>
      <c r="D4" s="26" t="s">
        <v>120</v>
      </c>
    </row>
    <row r="5" spans="1:4" ht="29.15" x14ac:dyDescent="0.4">
      <c r="A5" s="26" t="s">
        <v>121</v>
      </c>
      <c r="B5" s="26" t="s">
        <v>122</v>
      </c>
      <c r="C5" s="26" t="s">
        <v>123</v>
      </c>
      <c r="D5" s="26" t="s">
        <v>124</v>
      </c>
    </row>
    <row r="6" spans="1:4" ht="43.75" x14ac:dyDescent="0.4">
      <c r="A6" s="26" t="s">
        <v>125</v>
      </c>
      <c r="B6" s="31">
        <v>0</v>
      </c>
      <c r="C6" s="26" t="s">
        <v>126</v>
      </c>
      <c r="D6" s="26" t="s">
        <v>127</v>
      </c>
    </row>
    <row r="7" spans="1:4" ht="29.15" x14ac:dyDescent="0.4">
      <c r="A7" s="26" t="s">
        <v>128</v>
      </c>
      <c r="B7" s="31">
        <v>3750</v>
      </c>
      <c r="C7" s="31">
        <v>880</v>
      </c>
      <c r="D7" s="26" t="s">
        <v>129</v>
      </c>
    </row>
    <row r="8" spans="1:4" x14ac:dyDescent="0.4">
      <c r="A8" s="26" t="s">
        <v>130</v>
      </c>
      <c r="B8" s="26" t="s">
        <v>104</v>
      </c>
      <c r="C8" s="26" t="s">
        <v>104</v>
      </c>
      <c r="D8" s="31">
        <v>34440</v>
      </c>
    </row>
    <row r="9" spans="1:4" ht="43.75" x14ac:dyDescent="0.4">
      <c r="A9" s="26" t="s">
        <v>131</v>
      </c>
      <c r="B9" s="26" t="s">
        <v>104</v>
      </c>
      <c r="C9" s="31">
        <v>3500</v>
      </c>
      <c r="D9" s="26" t="s">
        <v>132</v>
      </c>
    </row>
    <row r="10" spans="1:4" ht="43.75" x14ac:dyDescent="0.4">
      <c r="A10" s="26" t="s">
        <v>133</v>
      </c>
      <c r="B10" s="26" t="s">
        <v>104</v>
      </c>
      <c r="C10" s="31">
        <v>1650</v>
      </c>
      <c r="D10" s="26" t="s">
        <v>134</v>
      </c>
    </row>
    <row r="11" spans="1:4" ht="43.75" x14ac:dyDescent="0.4">
      <c r="A11" s="26" t="s">
        <v>135</v>
      </c>
      <c r="B11" s="26" t="s">
        <v>104</v>
      </c>
      <c r="C11" s="32">
        <v>5.68</v>
      </c>
      <c r="D11" s="26" t="s">
        <v>136</v>
      </c>
    </row>
    <row r="12" spans="1:4" ht="29.15" x14ac:dyDescent="0.4">
      <c r="A12" s="26" t="s">
        <v>137</v>
      </c>
      <c r="B12" s="26" t="s">
        <v>104</v>
      </c>
      <c r="C12" s="26" t="s">
        <v>138</v>
      </c>
      <c r="D12" s="26" t="s">
        <v>139</v>
      </c>
    </row>
    <row r="13" spans="1:4" ht="87.45" x14ac:dyDescent="0.4">
      <c r="A13" s="26" t="s">
        <v>140</v>
      </c>
      <c r="B13" s="26" t="s">
        <v>141</v>
      </c>
      <c r="C13" s="26" t="s">
        <v>142</v>
      </c>
      <c r="D13" s="26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problemas</vt:lpstr>
      <vt:lpstr>DATOS</vt:lpstr>
      <vt:lpstr>Hoja2</vt:lpstr>
      <vt:lpstr>DATOS!Área_de_impresión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Solis</dc:creator>
  <cp:lastModifiedBy>Raquel Solis</cp:lastModifiedBy>
  <cp:lastPrinted>2025-08-25T21:26:52Z</cp:lastPrinted>
  <dcterms:created xsi:type="dcterms:W3CDTF">2025-08-14T20:47:42Z</dcterms:created>
  <dcterms:modified xsi:type="dcterms:W3CDTF">2025-11-17T15:06:46Z</dcterms:modified>
</cp:coreProperties>
</file>